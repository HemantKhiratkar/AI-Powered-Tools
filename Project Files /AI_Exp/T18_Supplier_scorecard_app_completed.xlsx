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E:\Projects\AI_Exp\"/>
    </mc:Choice>
  </mc:AlternateContent>
  <xr:revisionPtr revIDLastSave="0" documentId="13_ncr:1_{04A91915-42EF-4982-9BF2-248A5FB5DBA2}" xr6:coauthVersionLast="47" xr6:coauthVersionMax="47" xr10:uidLastSave="{00000000-0000-0000-0000-000000000000}"/>
  <bookViews>
    <workbookView xWindow="-120" yWindow="-120" windowWidth="29040" windowHeight="15720" tabRatio="500" firstSheet="3" activeTab="8" xr2:uid="{00000000-000D-0000-FFFF-FFFF00000000}"/>
  </bookViews>
  <sheets>
    <sheet name="Instructions" sheetId="1" r:id="rId1"/>
    <sheet name="Task" sheetId="2" r:id="rId2"/>
    <sheet name="Theme and Rubrics" sheetId="3" r:id="rId3"/>
    <sheet name="Task Brief" sheetId="4" r:id="rId4"/>
    <sheet name="Suppliers" sheetId="5" r:id="rId5"/>
    <sheet name="Purchase Orders" sheetId="6" r:id="rId6"/>
    <sheet name="Data Dictionary" sheetId="7" r:id="rId7"/>
    <sheet name="AI Use Log" sheetId="8" r:id="rId8"/>
    <sheet name="Baseline Metrics" sheetId="9" r:id="rId9"/>
  </sheets>
  <externalReferences>
    <externalReference r:id="rId10"/>
  </externalReferences>
  <definedNames>
    <definedName name="_xlnm._FilterDatabase" localSheetId="8" hidden="1">'Baseline Metrics'!$A$1:$J$41</definedName>
    <definedName name="_xlnm._FilterDatabase" localSheetId="5" hidden="1">'Purchase Orders'!$A$1:$J$601</definedName>
    <definedName name="_xlnm._FilterDatabase" localSheetId="4" hidden="1">Suppliers!$A$1:$G$41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3" i="4" l="1"/>
  <c r="B21" i="3"/>
  <c r="B7" i="3"/>
  <c r="B6" i="3"/>
  <c r="B5" i="3"/>
  <c r="B4" i="3"/>
  <c r="B3" i="3"/>
  <c r="B2" i="3"/>
  <c r="B8" i="3" s="1"/>
</calcChain>
</file>

<file path=xl/sharedStrings.xml><?xml version="1.0" encoding="utf-8"?>
<sst xmlns="http://schemas.openxmlformats.org/spreadsheetml/2006/main" count="1943" uniqueCount="929">
  <si>
    <t>AI Use Log - fill one row per prompt (minimum 15). Yellow cells are for you to fill; row 4 is an example.</t>
  </si>
  <si>
    <t>Evidence = shared chat link or screenshot file name. Keep rejected outputs too - they earn marks under 'Prompting and iteration'.</t>
  </si>
  <si>
    <t>#</t>
  </si>
  <si>
    <t>date</t>
  </si>
  <si>
    <t>tool</t>
  </si>
  <si>
    <t>model / mode</t>
  </si>
  <si>
    <t>settings used (if any)</t>
  </si>
  <si>
    <t>prompt (exact text)</t>
  </si>
  <si>
    <t>what the output did well / badly</t>
  </si>
  <si>
    <t>what I changed next and why</t>
  </si>
  <si>
    <t>kept or rejected</t>
  </si>
  <si>
    <t>evidence link / file</t>
  </si>
  <si>
    <t>Gemini (free)</t>
  </si>
  <si>
    <t>Gemini app, default</t>
  </si>
  <si>
    <t>-</t>
  </si>
  <si>
    <t>You are a business analyst. Using the attached sheet for 'Supplier scorecard app', list the first 3 steps to build it and what could go wrong.</t>
  </si>
  <si>
    <t>Clear steps, but assumed a column that does not exist</t>
  </si>
  <si>
    <t>Told it the exact column names and asked it to recheck</t>
  </si>
  <si>
    <t>Rejected</t>
  </si>
  <si>
    <t>screenshot_01.png</t>
  </si>
  <si>
    <t>Projects for MBA Students (30 marks each)</t>
  </si>
  <si>
    <t>Purpose</t>
  </si>
  <si>
    <t>Each task asks students to build a working tool, bot, app, automation or analysis using only free LLM tools, then verify it and turn the result into a business recommendation.</t>
  </si>
  <si>
    <t>Allocation</t>
  </si>
  <si>
    <t>One task per student (or pair, if allowed). Allot by roll number or lottery so no two students in a section share a task.</t>
  </si>
  <si>
    <t>Files</t>
  </si>
  <si>
    <t>Every task has its own Excel file in the 'Task Files' folder: Task Brief (with rubric), ready-to-use dataset sheet(s), Data Dictionary and an AI Use Log template.</t>
  </si>
  <si>
    <t>Data</t>
  </si>
  <si>
    <t>All datasets are synthetic, generated for teaching, and free of real personal data. Companies, people and prices are fictional. Some files contain a 'Gold Labels (evaluation)' sheet that students must not give to the AI - it is for measuring accuracy.</t>
  </si>
  <si>
    <t>Free tools</t>
  </si>
  <si>
    <t>ChatGPT, Gemini (incl. Canvas and Gems), Claude, Microsoft Copilot, NotebookLM, Google AI Studio, Google Colab, Google Sheets + Apps Script, Canva, and free tiers of Make / Zapier / n8n. Free-tier limits change; students should note the plan they used.</t>
  </si>
  <si>
    <t>Expected effort</t>
  </si>
  <si>
    <t>10-15 hours over 2-3 weeks.</t>
  </si>
  <si>
    <t>Evaluation</t>
  </si>
  <si>
    <t>Use the 'Rubric (30 marks)' sheet. Check at least 3 entries in each AI Use Log, ask each student to demo the build live for 3-5 minutes, and spot-check 3 numbers or labels in their output.</t>
  </si>
  <si>
    <t>Penalties (suggested)</t>
  </si>
  <si>
    <t>No AI Use Log: total capped at 15. Build does not run and no recording: criterion 1 capped at 2. Gold labels given to the AI: criterion 2 = 0. Copied work: referral under academic integrity policy.</t>
  </si>
  <si>
    <t>T18</t>
  </si>
  <si>
    <t>A. No-code apps &amp; dashboards</t>
  </si>
  <si>
    <t>Supplier scorecard app</t>
  </si>
  <si>
    <t>1. Build a scorecard of on-time delivery, rejection rate, price change and responsiveness per supplier.
2. Let the user change the weights.
3. Classify suppliers as Strategic, Develop, Maintain or Exit.
4. Draft feedback letters to 2 poor performers.</t>
  </si>
  <si>
    <t>Scorecard app; supplier classification; 2 letters; AI-use log</t>
  </si>
  <si>
    <t>40 suppliers + 600 purchase orders — sheets: Suppliers (40 rows); Purchase Orders (600 rows)</t>
  </si>
  <si>
    <t>T18_Supplier_scorecard_app.xlsx</t>
  </si>
  <si>
    <t>Gemini Canvas, ChatGPT Canvas or Claude (free) to generate the app; Excel / Google Sheets to verify numbers</t>
  </si>
  <si>
    <t>Theme</t>
  </si>
  <si>
    <t>Number of tasks</t>
  </si>
  <si>
    <t>B. Chatbots &amp; AI assistants</t>
  </si>
  <si>
    <t>C. AI text analytics</t>
  </si>
  <si>
    <t>D. Marketing &amp; content builds</t>
  </si>
  <si>
    <t>E. Finance &amp; operations automation</t>
  </si>
  <si>
    <t>F. Analytics tools built with AI-written code</t>
  </si>
  <si>
    <t>Total</t>
  </si>
  <si>
    <t>Rubrics (30marks)</t>
  </si>
  <si>
    <t>Criterion</t>
  </si>
  <si>
    <t>Marks</t>
  </si>
  <si>
    <t>What is assessed</t>
  </si>
  <si>
    <t>Excellent</t>
  </si>
  <si>
    <t>Good</t>
  </si>
  <si>
    <t>Fair</t>
  </si>
  <si>
    <t>Poor</t>
  </si>
  <si>
    <t>1. Working build</t>
  </si>
  <si>
    <t>Tool / bot / app / automation works end to end on the provided data; link, file or screen recording submitted</t>
  </si>
  <si>
    <t>Runs fully (7-8)</t>
  </si>
  <si>
    <t>Minor gaps (5-6)</t>
  </si>
  <si>
    <t>Partly working (3-4)</t>
  </si>
  <si>
    <t>Not working (0-2)</t>
  </si>
  <si>
    <t>2. Correctness and verification</t>
  </si>
  <si>
    <t>Outputs checked against the data or gold labels; accuracy measured; errors found and fixed</t>
  </si>
  <si>
    <t>Systematic checks with numbers (6-7)</t>
  </si>
  <si>
    <t>Some checks (4-5)</t>
  </si>
  <si>
    <t>Few checks (2-3)</t>
  </si>
  <si>
    <t>None (0-1)</t>
  </si>
  <si>
    <t>3. Prompting and iteration</t>
  </si>
  <si>
    <t>Clear, structured prompts; at least 3 documented improvement rounds with reasons</t>
  </si>
  <si>
    <t>Strong iteration (5)</t>
  </si>
  <si>
    <t>Some iteration (3-4)</t>
  </si>
  <si>
    <t>Mostly one-shot (2)</t>
  </si>
  <si>
    <t>No log (0-1)</t>
  </si>
  <si>
    <t>4. Business insight and recommendation</t>
  </si>
  <si>
    <t>Specific, data-backed recommendation for the stated manager or customer</t>
  </si>
  <si>
    <t>Actionable and quantified (6)</t>
  </si>
  <si>
    <t>Sound but generic (4-5)</t>
  </si>
  <si>
    <t>Descriptive only (2-3)</t>
  </si>
  <si>
    <t>Missing (0-1)</t>
  </si>
  <si>
    <t>5. Documentation and reflection</t>
  </si>
  <si>
    <t>Complete AI-use log, limitations, responsible-AI notes and personal reflection</t>
  </si>
  <si>
    <t>Complete and honest (4)</t>
  </si>
  <si>
    <t>Mostly complete (3)</t>
  </si>
  <si>
    <t>Thin (2)</t>
  </si>
  <si>
    <t>T18  Supplier scorecard app</t>
  </si>
  <si>
    <t>Mini project | 30 marks | Build something with free LLM tools</t>
  </si>
  <si>
    <t>Task ID</t>
  </si>
  <si>
    <t>Task</t>
  </si>
  <si>
    <t>No-code apps &amp; dashboards</t>
  </si>
  <si>
    <t>Suggested free tools</t>
  </si>
  <si>
    <t>What students do</t>
  </si>
  <si>
    <t>Deliverables</t>
  </si>
  <si>
    <t>Dataset in this file</t>
  </si>
  <si>
    <t>40 suppliers + 600 purchase orders
- 'Suppliers' sheet: 40 rows x 7 columns
- 'Purchase Orders' sheet: 600 rows x 10 columns</t>
  </si>
  <si>
    <t>About the data</t>
  </si>
  <si>
    <t>All data is synthetic and created for teaching; companies, people and figures are fictional. Treat it as if it were real business data. If a 'Gold Labels (evaluation)' sheet is present, do NOT give it to the AI tool - use it only at the end to measure your accuracy.</t>
  </si>
  <si>
    <t>Team size</t>
  </si>
  <si>
    <t>Individual (or pairs if your faculty allows)</t>
  </si>
  <si>
    <t>Responsible AI rules</t>
  </si>
  <si>
    <t>Use only free tools; never paste real personal or confidential data into public AI tools; verify every number the AI gives you; disclose AI-generated content.</t>
  </si>
  <si>
    <t>Submission</t>
  </si>
  <si>
    <t>1) Build link / file / screen recording  2) This workbook with your outputs added as new sheets  3) Completed 'AI Use Log' sheet (minimum 15 entries)  4) 3-5 page report with recommendation and reflection</t>
  </si>
  <si>
    <t>Evaluation rubric (30 marks)</t>
  </si>
  <si>
    <t>supplier_id</t>
  </si>
  <si>
    <t>supplier_name</t>
  </si>
  <si>
    <t>category</t>
  </si>
  <si>
    <t>city</t>
  </si>
  <si>
    <t>certification</t>
  </si>
  <si>
    <t>years_with_us</t>
  </si>
  <si>
    <t>size</t>
  </si>
  <si>
    <t>SUP001</t>
  </si>
  <si>
    <t>Nova Chemicals</t>
  </si>
  <si>
    <t>Packaging</t>
  </si>
  <si>
    <t>Chandigarh</t>
  </si>
  <si>
    <t>None</t>
  </si>
  <si>
    <t>Large</t>
  </si>
  <si>
    <t>SUP002</t>
  </si>
  <si>
    <t>Nova Metals</t>
  </si>
  <si>
    <t>Logistics</t>
  </si>
  <si>
    <t>Kochi</t>
  </si>
  <si>
    <t>ISO 9001</t>
  </si>
  <si>
    <t>Medium</t>
  </si>
  <si>
    <t>SUP003</t>
  </si>
  <si>
    <t>Prime Metals</t>
  </si>
  <si>
    <t>SUP004</t>
  </si>
  <si>
    <t>Prime Polymers</t>
  </si>
  <si>
    <t>Chemicals</t>
  </si>
  <si>
    <t>SUP005</t>
  </si>
  <si>
    <t>Shree Polymers</t>
  </si>
  <si>
    <t>Components</t>
  </si>
  <si>
    <t>Pune</t>
  </si>
  <si>
    <t>SUP006</t>
  </si>
  <si>
    <t>Sai Chemicals</t>
  </si>
  <si>
    <t>Lucknow</t>
  </si>
  <si>
    <t>SUP007</t>
  </si>
  <si>
    <t>Nova Components</t>
  </si>
  <si>
    <t>Micro/Small (MSME)</t>
  </si>
  <si>
    <t>SUP008</t>
  </si>
  <si>
    <t>Vardhman Polymers</t>
  </si>
  <si>
    <t>Mumbai</t>
  </si>
  <si>
    <t>ISO 9001 + ISO 14001</t>
  </si>
  <si>
    <t>SUP009</t>
  </si>
  <si>
    <t>Prime Packaging</t>
  </si>
  <si>
    <t>Nashik</t>
  </si>
  <si>
    <t>SUP010</t>
  </si>
  <si>
    <t>Prime Components</t>
  </si>
  <si>
    <t>SUP011</t>
  </si>
  <si>
    <t>Global Metals</t>
  </si>
  <si>
    <t>Indore</t>
  </si>
  <si>
    <t>SUP012</t>
  </si>
  <si>
    <t>Global Packaging</t>
  </si>
  <si>
    <t>Bengaluru</t>
  </si>
  <si>
    <t>SUP013</t>
  </si>
  <si>
    <t>Om Components</t>
  </si>
  <si>
    <t>Chennai</t>
  </si>
  <si>
    <t>SUP014</t>
  </si>
  <si>
    <t>Om Metals</t>
  </si>
  <si>
    <t>Surat</t>
  </si>
  <si>
    <t>SUP015</t>
  </si>
  <si>
    <t>Om Polymers</t>
  </si>
  <si>
    <t>Kolkata</t>
  </si>
  <si>
    <t>SUP016</t>
  </si>
  <si>
    <t>Nova Polymers</t>
  </si>
  <si>
    <t>SUP017</t>
  </si>
  <si>
    <t>Prime Logistics</t>
  </si>
  <si>
    <t>SUP018</t>
  </si>
  <si>
    <t>Global Chemicals</t>
  </si>
  <si>
    <t>Raw Material</t>
  </si>
  <si>
    <t>Bhubaneswar</t>
  </si>
  <si>
    <t>SUP019</t>
  </si>
  <si>
    <t>SUP020</t>
  </si>
  <si>
    <t>Global Textiles</t>
  </si>
  <si>
    <t>Coimbatore</t>
  </si>
  <si>
    <t>SUP021</t>
  </si>
  <si>
    <t>Shree Packaging</t>
  </si>
  <si>
    <t>SUP022</t>
  </si>
  <si>
    <t>Nagpur</t>
  </si>
  <si>
    <t>SUP023</t>
  </si>
  <si>
    <t>Sai Metals</t>
  </si>
  <si>
    <t>Patna</t>
  </si>
  <si>
    <t>SUP024</t>
  </si>
  <si>
    <t>Nova Logistics</t>
  </si>
  <si>
    <t>Jaipur</t>
  </si>
  <si>
    <t>SUP025</t>
  </si>
  <si>
    <t>Shree Textiles</t>
  </si>
  <si>
    <t>SUP026</t>
  </si>
  <si>
    <t>Om Chemicals</t>
  </si>
  <si>
    <t>SUP027</t>
  </si>
  <si>
    <t>Vardhman Packaging</t>
  </si>
  <si>
    <t>SUP028</t>
  </si>
  <si>
    <t>Vardhman Logistics</t>
  </si>
  <si>
    <t>SUP029</t>
  </si>
  <si>
    <t>Hyderabad</t>
  </si>
  <si>
    <t>SUP030</t>
  </si>
  <si>
    <t>SUP031</t>
  </si>
  <si>
    <t>SUP032</t>
  </si>
  <si>
    <t>Om Logistics</t>
  </si>
  <si>
    <t>SUP033</t>
  </si>
  <si>
    <t>Prime Textiles</t>
  </si>
  <si>
    <t>SUP034</t>
  </si>
  <si>
    <t>Apex Textiles</t>
  </si>
  <si>
    <t>SUP035</t>
  </si>
  <si>
    <t>SUP036</t>
  </si>
  <si>
    <t>Delhi</t>
  </si>
  <si>
    <t>SUP037</t>
  </si>
  <si>
    <t>Om Textiles</t>
  </si>
  <si>
    <t>SUP038</t>
  </si>
  <si>
    <t>Guwahati</t>
  </si>
  <si>
    <t>SUP039</t>
  </si>
  <si>
    <t>Sai Packaging</t>
  </si>
  <si>
    <t>SUP040</t>
  </si>
  <si>
    <t>Prime Chemicals</t>
  </si>
  <si>
    <t>po_id</t>
  </si>
  <si>
    <t>po_date</t>
  </si>
  <si>
    <t>promised_date</t>
  </si>
  <si>
    <t>days_late</t>
  </si>
  <si>
    <t>qty_ordered</t>
  </si>
  <si>
    <t>qty_rejected</t>
  </si>
  <si>
    <t>unit_price_inr</t>
  </si>
  <si>
    <t>price_change_vs_last_po</t>
  </si>
  <si>
    <t>responsiveness_rating_1to5</t>
  </si>
  <si>
    <t>PO00001</t>
  </si>
  <si>
    <t>PO00002</t>
  </si>
  <si>
    <t>PO00003</t>
  </si>
  <si>
    <t>PO00004</t>
  </si>
  <si>
    <t>PO00005</t>
  </si>
  <si>
    <t>PO00006</t>
  </si>
  <si>
    <t>PO00007</t>
  </si>
  <si>
    <t>PO00008</t>
  </si>
  <si>
    <t>PO00009</t>
  </si>
  <si>
    <t>PO00010</t>
  </si>
  <si>
    <t>PO00011</t>
  </si>
  <si>
    <t>PO00012</t>
  </si>
  <si>
    <t>PO00013</t>
  </si>
  <si>
    <t>PO00014</t>
  </si>
  <si>
    <t>PO00015</t>
  </si>
  <si>
    <t>PO00016</t>
  </si>
  <si>
    <t>PO00017</t>
  </si>
  <si>
    <t>PO00018</t>
  </si>
  <si>
    <t>PO00019</t>
  </si>
  <si>
    <t>PO00020</t>
  </si>
  <si>
    <t>PO00021</t>
  </si>
  <si>
    <t>PO00022</t>
  </si>
  <si>
    <t>PO00023</t>
  </si>
  <si>
    <t>PO00024</t>
  </si>
  <si>
    <t>PO00025</t>
  </si>
  <si>
    <t>PO00026</t>
  </si>
  <si>
    <t>PO00027</t>
  </si>
  <si>
    <t>PO00028</t>
  </si>
  <si>
    <t>PO00029</t>
  </si>
  <si>
    <t>PO00030</t>
  </si>
  <si>
    <t>PO00031</t>
  </si>
  <si>
    <t>PO00032</t>
  </si>
  <si>
    <t>PO00033</t>
  </si>
  <si>
    <t>PO00034</t>
  </si>
  <si>
    <t>PO00035</t>
  </si>
  <si>
    <t>PO00036</t>
  </si>
  <si>
    <t>PO00037</t>
  </si>
  <si>
    <t>PO00038</t>
  </si>
  <si>
    <t>PO00039</t>
  </si>
  <si>
    <t>PO00040</t>
  </si>
  <si>
    <t>PO00041</t>
  </si>
  <si>
    <t>PO00042</t>
  </si>
  <si>
    <t>PO00043</t>
  </si>
  <si>
    <t>PO00044</t>
  </si>
  <si>
    <t>PO00045</t>
  </si>
  <si>
    <t>PO00046</t>
  </si>
  <si>
    <t>PO00047</t>
  </si>
  <si>
    <t>PO00048</t>
  </si>
  <si>
    <t>PO00049</t>
  </si>
  <si>
    <t>PO00050</t>
  </si>
  <si>
    <t>PO00051</t>
  </si>
  <si>
    <t>PO00052</t>
  </si>
  <si>
    <t>PO00053</t>
  </si>
  <si>
    <t>PO00054</t>
  </si>
  <si>
    <t>PO00055</t>
  </si>
  <si>
    <t>PO00056</t>
  </si>
  <si>
    <t>PO00057</t>
  </si>
  <si>
    <t>PO00058</t>
  </si>
  <si>
    <t>PO00059</t>
  </si>
  <si>
    <t>PO00060</t>
  </si>
  <si>
    <t>PO00061</t>
  </si>
  <si>
    <t>PO00062</t>
  </si>
  <si>
    <t>PO00063</t>
  </si>
  <si>
    <t>PO00064</t>
  </si>
  <si>
    <t>PO00065</t>
  </si>
  <si>
    <t>PO00066</t>
  </si>
  <si>
    <t>PO00067</t>
  </si>
  <si>
    <t>PO00068</t>
  </si>
  <si>
    <t>PO00069</t>
  </si>
  <si>
    <t>PO00070</t>
  </si>
  <si>
    <t>PO00071</t>
  </si>
  <si>
    <t>PO00072</t>
  </si>
  <si>
    <t>PO00073</t>
  </si>
  <si>
    <t>PO00074</t>
  </si>
  <si>
    <t>PO00075</t>
  </si>
  <si>
    <t>PO00076</t>
  </si>
  <si>
    <t>PO00077</t>
  </si>
  <si>
    <t>PO00078</t>
  </si>
  <si>
    <t>PO00079</t>
  </si>
  <si>
    <t>PO00080</t>
  </si>
  <si>
    <t>PO00081</t>
  </si>
  <si>
    <t>PO00082</t>
  </si>
  <si>
    <t>PO00083</t>
  </si>
  <si>
    <t>PO00084</t>
  </si>
  <si>
    <t>PO00085</t>
  </si>
  <si>
    <t>PO00086</t>
  </si>
  <si>
    <t>PO00087</t>
  </si>
  <si>
    <t>PO00088</t>
  </si>
  <si>
    <t>PO00089</t>
  </si>
  <si>
    <t>PO00090</t>
  </si>
  <si>
    <t>PO00091</t>
  </si>
  <si>
    <t>PO00092</t>
  </si>
  <si>
    <t>PO00093</t>
  </si>
  <si>
    <t>PO00094</t>
  </si>
  <si>
    <t>PO00095</t>
  </si>
  <si>
    <t>PO00096</t>
  </si>
  <si>
    <t>PO00097</t>
  </si>
  <si>
    <t>PO00098</t>
  </si>
  <si>
    <t>PO00099</t>
  </si>
  <si>
    <t>PO00100</t>
  </si>
  <si>
    <t>PO00101</t>
  </si>
  <si>
    <t>PO00102</t>
  </si>
  <si>
    <t>PO00103</t>
  </si>
  <si>
    <t>PO00104</t>
  </si>
  <si>
    <t>PO00105</t>
  </si>
  <si>
    <t>PO00106</t>
  </si>
  <si>
    <t>PO00107</t>
  </si>
  <si>
    <t>PO00108</t>
  </si>
  <si>
    <t>PO00109</t>
  </si>
  <si>
    <t>PO00110</t>
  </si>
  <si>
    <t>PO00111</t>
  </si>
  <si>
    <t>PO00112</t>
  </si>
  <si>
    <t>PO00113</t>
  </si>
  <si>
    <t>PO00114</t>
  </si>
  <si>
    <t>PO00115</t>
  </si>
  <si>
    <t>PO00116</t>
  </si>
  <si>
    <t>PO00117</t>
  </si>
  <si>
    <t>PO00118</t>
  </si>
  <si>
    <t>PO00119</t>
  </si>
  <si>
    <t>PO00120</t>
  </si>
  <si>
    <t>PO00121</t>
  </si>
  <si>
    <t>PO00122</t>
  </si>
  <si>
    <t>PO00123</t>
  </si>
  <si>
    <t>PO00124</t>
  </si>
  <si>
    <t>PO00125</t>
  </si>
  <si>
    <t>PO00126</t>
  </si>
  <si>
    <t>PO00127</t>
  </si>
  <si>
    <t>PO00128</t>
  </si>
  <si>
    <t>PO00129</t>
  </si>
  <si>
    <t>PO00130</t>
  </si>
  <si>
    <t>PO00131</t>
  </si>
  <si>
    <t>PO00132</t>
  </si>
  <si>
    <t>PO00133</t>
  </si>
  <si>
    <t>PO00134</t>
  </si>
  <si>
    <t>PO00135</t>
  </si>
  <si>
    <t>PO00136</t>
  </si>
  <si>
    <t>PO00137</t>
  </si>
  <si>
    <t>PO00138</t>
  </si>
  <si>
    <t>PO00139</t>
  </si>
  <si>
    <t>PO00140</t>
  </si>
  <si>
    <t>PO00141</t>
  </si>
  <si>
    <t>PO00142</t>
  </si>
  <si>
    <t>PO00143</t>
  </si>
  <si>
    <t>PO00144</t>
  </si>
  <si>
    <t>PO00145</t>
  </si>
  <si>
    <t>PO00146</t>
  </si>
  <si>
    <t>PO00147</t>
  </si>
  <si>
    <t>PO00148</t>
  </si>
  <si>
    <t>PO00149</t>
  </si>
  <si>
    <t>PO00150</t>
  </si>
  <si>
    <t>PO00151</t>
  </si>
  <si>
    <t>PO00152</t>
  </si>
  <si>
    <t>PO00153</t>
  </si>
  <si>
    <t>PO00154</t>
  </si>
  <si>
    <t>PO00155</t>
  </si>
  <si>
    <t>PO00156</t>
  </si>
  <si>
    <t>PO00157</t>
  </si>
  <si>
    <t>PO00158</t>
  </si>
  <si>
    <t>PO00159</t>
  </si>
  <si>
    <t>PO00160</t>
  </si>
  <si>
    <t>PO00161</t>
  </si>
  <si>
    <t>PO00162</t>
  </si>
  <si>
    <t>PO00163</t>
  </si>
  <si>
    <t>PO00164</t>
  </si>
  <si>
    <t>PO00165</t>
  </si>
  <si>
    <t>PO00166</t>
  </si>
  <si>
    <t>PO00167</t>
  </si>
  <si>
    <t>PO00168</t>
  </si>
  <si>
    <t>PO00169</t>
  </si>
  <si>
    <t>PO00170</t>
  </si>
  <si>
    <t>PO00171</t>
  </si>
  <si>
    <t>PO00172</t>
  </si>
  <si>
    <t>PO00173</t>
  </si>
  <si>
    <t>PO00174</t>
  </si>
  <si>
    <t>PO00175</t>
  </si>
  <si>
    <t>PO00176</t>
  </si>
  <si>
    <t>PO00177</t>
  </si>
  <si>
    <t>PO00178</t>
  </si>
  <si>
    <t>PO00179</t>
  </si>
  <si>
    <t>PO00180</t>
  </si>
  <si>
    <t>PO00181</t>
  </si>
  <si>
    <t>PO00182</t>
  </si>
  <si>
    <t>PO00183</t>
  </si>
  <si>
    <t>PO00184</t>
  </si>
  <si>
    <t>PO00185</t>
  </si>
  <si>
    <t>PO00186</t>
  </si>
  <si>
    <t>PO00187</t>
  </si>
  <si>
    <t>PO00188</t>
  </si>
  <si>
    <t>PO00189</t>
  </si>
  <si>
    <t>PO00190</t>
  </si>
  <si>
    <t>PO00191</t>
  </si>
  <si>
    <t>PO00192</t>
  </si>
  <si>
    <t>PO00193</t>
  </si>
  <si>
    <t>PO00194</t>
  </si>
  <si>
    <t>PO00195</t>
  </si>
  <si>
    <t>PO00196</t>
  </si>
  <si>
    <t>PO00197</t>
  </si>
  <si>
    <t>PO00198</t>
  </si>
  <si>
    <t>PO00199</t>
  </si>
  <si>
    <t>PO00200</t>
  </si>
  <si>
    <t>PO00201</t>
  </si>
  <si>
    <t>PO00202</t>
  </si>
  <si>
    <t>PO00203</t>
  </si>
  <si>
    <t>PO00204</t>
  </si>
  <si>
    <t>PO00205</t>
  </si>
  <si>
    <t>PO00206</t>
  </si>
  <si>
    <t>PO00207</t>
  </si>
  <si>
    <t>PO00208</t>
  </si>
  <si>
    <t>PO00209</t>
  </si>
  <si>
    <t>PO00210</t>
  </si>
  <si>
    <t>PO00211</t>
  </si>
  <si>
    <t>PO00212</t>
  </si>
  <si>
    <t>PO00213</t>
  </si>
  <si>
    <t>PO00214</t>
  </si>
  <si>
    <t>PO00215</t>
  </si>
  <si>
    <t>PO00216</t>
  </si>
  <si>
    <t>PO00217</t>
  </si>
  <si>
    <t>PO00218</t>
  </si>
  <si>
    <t>PO00219</t>
  </si>
  <si>
    <t>PO00220</t>
  </si>
  <si>
    <t>PO00221</t>
  </si>
  <si>
    <t>PO00222</t>
  </si>
  <si>
    <t>PO00223</t>
  </si>
  <si>
    <t>PO00224</t>
  </si>
  <si>
    <t>PO00225</t>
  </si>
  <si>
    <t>PO00226</t>
  </si>
  <si>
    <t>PO00227</t>
  </si>
  <si>
    <t>PO00228</t>
  </si>
  <si>
    <t>PO00229</t>
  </si>
  <si>
    <t>PO00230</t>
  </si>
  <si>
    <t>PO00231</t>
  </si>
  <si>
    <t>PO00232</t>
  </si>
  <si>
    <t>PO00233</t>
  </si>
  <si>
    <t>PO00234</t>
  </si>
  <si>
    <t>PO00235</t>
  </si>
  <si>
    <t>PO00236</t>
  </si>
  <si>
    <t>PO00237</t>
  </si>
  <si>
    <t>PO00238</t>
  </si>
  <si>
    <t>PO00239</t>
  </si>
  <si>
    <t>PO00240</t>
  </si>
  <si>
    <t>PO00241</t>
  </si>
  <si>
    <t>PO00242</t>
  </si>
  <si>
    <t>PO00243</t>
  </si>
  <si>
    <t>PO00244</t>
  </si>
  <si>
    <t>PO00245</t>
  </si>
  <si>
    <t>PO00246</t>
  </si>
  <si>
    <t>PO00247</t>
  </si>
  <si>
    <t>PO00248</t>
  </si>
  <si>
    <t>PO00249</t>
  </si>
  <si>
    <t>PO00250</t>
  </si>
  <si>
    <t>PO00251</t>
  </si>
  <si>
    <t>PO00252</t>
  </si>
  <si>
    <t>PO00253</t>
  </si>
  <si>
    <t>PO00254</t>
  </si>
  <si>
    <t>PO00255</t>
  </si>
  <si>
    <t>PO00256</t>
  </si>
  <si>
    <t>PO00257</t>
  </si>
  <si>
    <t>PO00258</t>
  </si>
  <si>
    <t>PO00259</t>
  </si>
  <si>
    <t>PO00260</t>
  </si>
  <si>
    <t>PO00261</t>
  </si>
  <si>
    <t>PO00262</t>
  </si>
  <si>
    <t>PO00263</t>
  </si>
  <si>
    <t>PO00264</t>
  </si>
  <si>
    <t>PO00265</t>
  </si>
  <si>
    <t>PO00266</t>
  </si>
  <si>
    <t>PO00267</t>
  </si>
  <si>
    <t>PO00268</t>
  </si>
  <si>
    <t>PO00269</t>
  </si>
  <si>
    <t>PO00270</t>
  </si>
  <si>
    <t>PO00271</t>
  </si>
  <si>
    <t>PO00272</t>
  </si>
  <si>
    <t>PO00273</t>
  </si>
  <si>
    <t>PO00274</t>
  </si>
  <si>
    <t>PO00275</t>
  </si>
  <si>
    <t>PO00276</t>
  </si>
  <si>
    <t>PO00277</t>
  </si>
  <si>
    <t>PO00278</t>
  </si>
  <si>
    <t>PO00279</t>
  </si>
  <si>
    <t>PO00280</t>
  </si>
  <si>
    <t>PO00281</t>
  </si>
  <si>
    <t>PO00282</t>
  </si>
  <si>
    <t>PO00283</t>
  </si>
  <si>
    <t>PO00284</t>
  </si>
  <si>
    <t>PO00285</t>
  </si>
  <si>
    <t>PO00286</t>
  </si>
  <si>
    <t>PO00287</t>
  </si>
  <si>
    <t>PO00288</t>
  </si>
  <si>
    <t>PO00289</t>
  </si>
  <si>
    <t>PO00290</t>
  </si>
  <si>
    <t>PO00291</t>
  </si>
  <si>
    <t>PO00292</t>
  </si>
  <si>
    <t>PO00293</t>
  </si>
  <si>
    <t>PO00294</t>
  </si>
  <si>
    <t>PO00295</t>
  </si>
  <si>
    <t>PO00296</t>
  </si>
  <si>
    <t>PO00297</t>
  </si>
  <si>
    <t>PO00298</t>
  </si>
  <si>
    <t>PO00299</t>
  </si>
  <si>
    <t>PO00300</t>
  </si>
  <si>
    <t>PO00301</t>
  </si>
  <si>
    <t>PO00302</t>
  </si>
  <si>
    <t>PO00303</t>
  </si>
  <si>
    <t>PO00304</t>
  </si>
  <si>
    <t>PO00305</t>
  </si>
  <si>
    <t>PO00306</t>
  </si>
  <si>
    <t>PO00307</t>
  </si>
  <si>
    <t>PO00308</t>
  </si>
  <si>
    <t>PO00309</t>
  </si>
  <si>
    <t>PO00310</t>
  </si>
  <si>
    <t>PO00311</t>
  </si>
  <si>
    <t>PO00312</t>
  </si>
  <si>
    <t>PO00313</t>
  </si>
  <si>
    <t>PO00314</t>
  </si>
  <si>
    <t>PO00315</t>
  </si>
  <si>
    <t>PO00316</t>
  </si>
  <si>
    <t>PO00317</t>
  </si>
  <si>
    <t>PO00318</t>
  </si>
  <si>
    <t>PO00319</t>
  </si>
  <si>
    <t>PO00320</t>
  </si>
  <si>
    <t>PO00321</t>
  </si>
  <si>
    <t>PO00322</t>
  </si>
  <si>
    <t>PO00323</t>
  </si>
  <si>
    <t>PO00324</t>
  </si>
  <si>
    <t>PO00325</t>
  </si>
  <si>
    <t>PO00326</t>
  </si>
  <si>
    <t>PO00327</t>
  </si>
  <si>
    <t>PO00328</t>
  </si>
  <si>
    <t>PO00329</t>
  </si>
  <si>
    <t>PO00330</t>
  </si>
  <si>
    <t>PO00331</t>
  </si>
  <si>
    <t>PO00332</t>
  </si>
  <si>
    <t>PO00333</t>
  </si>
  <si>
    <t>PO00334</t>
  </si>
  <si>
    <t>PO00335</t>
  </si>
  <si>
    <t>PO00336</t>
  </si>
  <si>
    <t>PO00337</t>
  </si>
  <si>
    <t>PO00338</t>
  </si>
  <si>
    <t>PO00339</t>
  </si>
  <si>
    <t>PO00340</t>
  </si>
  <si>
    <t>PO00341</t>
  </si>
  <si>
    <t>PO00342</t>
  </si>
  <si>
    <t>PO00343</t>
  </si>
  <si>
    <t>PO00344</t>
  </si>
  <si>
    <t>PO00345</t>
  </si>
  <si>
    <t>PO00346</t>
  </si>
  <si>
    <t>PO00347</t>
  </si>
  <si>
    <t>PO00348</t>
  </si>
  <si>
    <t>PO00349</t>
  </si>
  <si>
    <t>PO00350</t>
  </si>
  <si>
    <t>PO00351</t>
  </si>
  <si>
    <t>PO00352</t>
  </si>
  <si>
    <t>PO00353</t>
  </si>
  <si>
    <t>PO00354</t>
  </si>
  <si>
    <t>PO00355</t>
  </si>
  <si>
    <t>PO00356</t>
  </si>
  <si>
    <t>PO00357</t>
  </si>
  <si>
    <t>PO00358</t>
  </si>
  <si>
    <t>PO00359</t>
  </si>
  <si>
    <t>PO00360</t>
  </si>
  <si>
    <t>PO00361</t>
  </si>
  <si>
    <t>PO00362</t>
  </si>
  <si>
    <t>PO00363</t>
  </si>
  <si>
    <t>PO00364</t>
  </si>
  <si>
    <t>PO00365</t>
  </si>
  <si>
    <t>PO00366</t>
  </si>
  <si>
    <t>PO00367</t>
  </si>
  <si>
    <t>PO00368</t>
  </si>
  <si>
    <t>PO00369</t>
  </si>
  <si>
    <t>PO00370</t>
  </si>
  <si>
    <t>PO00371</t>
  </si>
  <si>
    <t>PO00372</t>
  </si>
  <si>
    <t>PO00373</t>
  </si>
  <si>
    <t>PO00374</t>
  </si>
  <si>
    <t>PO00375</t>
  </si>
  <si>
    <t>PO00376</t>
  </si>
  <si>
    <t>PO00377</t>
  </si>
  <si>
    <t>PO00378</t>
  </si>
  <si>
    <t>PO00379</t>
  </si>
  <si>
    <t>PO00380</t>
  </si>
  <si>
    <t>PO00381</t>
  </si>
  <si>
    <t>PO00382</t>
  </si>
  <si>
    <t>PO00383</t>
  </si>
  <si>
    <t>PO00384</t>
  </si>
  <si>
    <t>PO00385</t>
  </si>
  <si>
    <t>PO00386</t>
  </si>
  <si>
    <t>PO00387</t>
  </si>
  <si>
    <t>PO00388</t>
  </si>
  <si>
    <t>PO00389</t>
  </si>
  <si>
    <t>PO00390</t>
  </si>
  <si>
    <t>PO00391</t>
  </si>
  <si>
    <t>PO00392</t>
  </si>
  <si>
    <t>PO00393</t>
  </si>
  <si>
    <t>PO00394</t>
  </si>
  <si>
    <t>PO00395</t>
  </si>
  <si>
    <t>PO00396</t>
  </si>
  <si>
    <t>PO00397</t>
  </si>
  <si>
    <t>PO00398</t>
  </si>
  <si>
    <t>PO00399</t>
  </si>
  <si>
    <t>PO00400</t>
  </si>
  <si>
    <t>PO00401</t>
  </si>
  <si>
    <t>PO00402</t>
  </si>
  <si>
    <t>PO00403</t>
  </si>
  <si>
    <t>PO00404</t>
  </si>
  <si>
    <t>PO00405</t>
  </si>
  <si>
    <t>PO00406</t>
  </si>
  <si>
    <t>PO00407</t>
  </si>
  <si>
    <t>PO00408</t>
  </si>
  <si>
    <t>PO00409</t>
  </si>
  <si>
    <t>PO00410</t>
  </si>
  <si>
    <t>PO00411</t>
  </si>
  <si>
    <t>PO00412</t>
  </si>
  <si>
    <t>PO00413</t>
  </si>
  <si>
    <t>PO00414</t>
  </si>
  <si>
    <t>PO00415</t>
  </si>
  <si>
    <t>PO00416</t>
  </si>
  <si>
    <t>PO00417</t>
  </si>
  <si>
    <t>PO00418</t>
  </si>
  <si>
    <t>PO00419</t>
  </si>
  <si>
    <t>PO00420</t>
  </si>
  <si>
    <t>PO00421</t>
  </si>
  <si>
    <t>PO00422</t>
  </si>
  <si>
    <t>PO00423</t>
  </si>
  <si>
    <t>PO00424</t>
  </si>
  <si>
    <t>PO00425</t>
  </si>
  <si>
    <t>PO00426</t>
  </si>
  <si>
    <t>PO00427</t>
  </si>
  <si>
    <t>PO00428</t>
  </si>
  <si>
    <t>PO00429</t>
  </si>
  <si>
    <t>PO00430</t>
  </si>
  <si>
    <t>PO00431</t>
  </si>
  <si>
    <t>PO00432</t>
  </si>
  <si>
    <t>PO00433</t>
  </si>
  <si>
    <t>PO00434</t>
  </si>
  <si>
    <t>PO00435</t>
  </si>
  <si>
    <t>PO00436</t>
  </si>
  <si>
    <t>PO00437</t>
  </si>
  <si>
    <t>PO00438</t>
  </si>
  <si>
    <t>PO00439</t>
  </si>
  <si>
    <t>PO00440</t>
  </si>
  <si>
    <t>PO00441</t>
  </si>
  <si>
    <t>PO00442</t>
  </si>
  <si>
    <t>PO00443</t>
  </si>
  <si>
    <t>PO00444</t>
  </si>
  <si>
    <t>PO00445</t>
  </si>
  <si>
    <t>PO00446</t>
  </si>
  <si>
    <t>PO00447</t>
  </si>
  <si>
    <t>PO00448</t>
  </si>
  <si>
    <t>PO00449</t>
  </si>
  <si>
    <t>PO00450</t>
  </si>
  <si>
    <t>PO00451</t>
  </si>
  <si>
    <t>PO00452</t>
  </si>
  <si>
    <t>PO00453</t>
  </si>
  <si>
    <t>PO00454</t>
  </si>
  <si>
    <t>PO00455</t>
  </si>
  <si>
    <t>PO00456</t>
  </si>
  <si>
    <t>PO00457</t>
  </si>
  <si>
    <t>PO00458</t>
  </si>
  <si>
    <t>PO00459</t>
  </si>
  <si>
    <t>PO00460</t>
  </si>
  <si>
    <t>PO00461</t>
  </si>
  <si>
    <t>PO00462</t>
  </si>
  <si>
    <t>PO00463</t>
  </si>
  <si>
    <t>PO00464</t>
  </si>
  <si>
    <t>PO00465</t>
  </si>
  <si>
    <t>PO00466</t>
  </si>
  <si>
    <t>PO00467</t>
  </si>
  <si>
    <t>PO00468</t>
  </si>
  <si>
    <t>PO00469</t>
  </si>
  <si>
    <t>PO00470</t>
  </si>
  <si>
    <t>PO00471</t>
  </si>
  <si>
    <t>PO00472</t>
  </si>
  <si>
    <t>PO00473</t>
  </si>
  <si>
    <t>PO00474</t>
  </si>
  <si>
    <t>PO00475</t>
  </si>
  <si>
    <t>PO00476</t>
  </si>
  <si>
    <t>PO00477</t>
  </si>
  <si>
    <t>PO00478</t>
  </si>
  <si>
    <t>PO00479</t>
  </si>
  <si>
    <t>PO00480</t>
  </si>
  <si>
    <t>PO00481</t>
  </si>
  <si>
    <t>PO00482</t>
  </si>
  <si>
    <t>PO00483</t>
  </si>
  <si>
    <t>PO00484</t>
  </si>
  <si>
    <t>PO00485</t>
  </si>
  <si>
    <t>PO00486</t>
  </si>
  <si>
    <t>PO00487</t>
  </si>
  <si>
    <t>PO00488</t>
  </si>
  <si>
    <t>PO00489</t>
  </si>
  <si>
    <t>PO00490</t>
  </si>
  <si>
    <t>PO00491</t>
  </si>
  <si>
    <t>PO00492</t>
  </si>
  <si>
    <t>PO00493</t>
  </si>
  <si>
    <t>PO00494</t>
  </si>
  <si>
    <t>PO00495</t>
  </si>
  <si>
    <t>PO00496</t>
  </si>
  <si>
    <t>PO00497</t>
  </si>
  <si>
    <t>PO00498</t>
  </si>
  <si>
    <t>PO00499</t>
  </si>
  <si>
    <t>PO00500</t>
  </si>
  <si>
    <t>PO00501</t>
  </si>
  <si>
    <t>PO00502</t>
  </si>
  <si>
    <t>PO00503</t>
  </si>
  <si>
    <t>PO00504</t>
  </si>
  <si>
    <t>PO00505</t>
  </si>
  <si>
    <t>PO00506</t>
  </si>
  <si>
    <t>PO00507</t>
  </si>
  <si>
    <t>PO00508</t>
  </si>
  <si>
    <t>PO00509</t>
  </si>
  <si>
    <t>PO00510</t>
  </si>
  <si>
    <t>PO00511</t>
  </si>
  <si>
    <t>PO00512</t>
  </si>
  <si>
    <t>PO00513</t>
  </si>
  <si>
    <t>PO00514</t>
  </si>
  <si>
    <t>PO00515</t>
  </si>
  <si>
    <t>PO00516</t>
  </si>
  <si>
    <t>PO00517</t>
  </si>
  <si>
    <t>PO00518</t>
  </si>
  <si>
    <t>PO00519</t>
  </si>
  <si>
    <t>PO00520</t>
  </si>
  <si>
    <t>PO00521</t>
  </si>
  <si>
    <t>PO00522</t>
  </si>
  <si>
    <t>PO00523</t>
  </si>
  <si>
    <t>PO00524</t>
  </si>
  <si>
    <t>PO00525</t>
  </si>
  <si>
    <t>PO00526</t>
  </si>
  <si>
    <t>PO00527</t>
  </si>
  <si>
    <t>PO00528</t>
  </si>
  <si>
    <t>PO00529</t>
  </si>
  <si>
    <t>PO00530</t>
  </si>
  <si>
    <t>PO00531</t>
  </si>
  <si>
    <t>PO00532</t>
  </si>
  <si>
    <t>PO00533</t>
  </si>
  <si>
    <t>PO00534</t>
  </si>
  <si>
    <t>PO00535</t>
  </si>
  <si>
    <t>PO00536</t>
  </si>
  <si>
    <t>PO00537</t>
  </si>
  <si>
    <t>PO00538</t>
  </si>
  <si>
    <t>PO00539</t>
  </si>
  <si>
    <t>PO00540</t>
  </si>
  <si>
    <t>PO00541</t>
  </si>
  <si>
    <t>PO00542</t>
  </si>
  <si>
    <t>PO00543</t>
  </si>
  <si>
    <t>PO00544</t>
  </si>
  <si>
    <t>PO00545</t>
  </si>
  <si>
    <t>PO00546</t>
  </si>
  <si>
    <t>PO00547</t>
  </si>
  <si>
    <t>PO00548</t>
  </si>
  <si>
    <t>PO00549</t>
  </si>
  <si>
    <t>PO00550</t>
  </si>
  <si>
    <t>PO00551</t>
  </si>
  <si>
    <t>PO00552</t>
  </si>
  <si>
    <t>PO00553</t>
  </si>
  <si>
    <t>PO00554</t>
  </si>
  <si>
    <t>PO00555</t>
  </si>
  <si>
    <t>PO00556</t>
  </si>
  <si>
    <t>PO00557</t>
  </si>
  <si>
    <t>PO00558</t>
  </si>
  <si>
    <t>PO00559</t>
  </si>
  <si>
    <t>PO00560</t>
  </si>
  <si>
    <t>PO00561</t>
  </si>
  <si>
    <t>PO00562</t>
  </si>
  <si>
    <t>PO00563</t>
  </si>
  <si>
    <t>PO00564</t>
  </si>
  <si>
    <t>PO00565</t>
  </si>
  <si>
    <t>PO00566</t>
  </si>
  <si>
    <t>PO00567</t>
  </si>
  <si>
    <t>PO00568</t>
  </si>
  <si>
    <t>PO00569</t>
  </si>
  <si>
    <t>PO00570</t>
  </si>
  <si>
    <t>PO00571</t>
  </si>
  <si>
    <t>PO00572</t>
  </si>
  <si>
    <t>PO00573</t>
  </si>
  <si>
    <t>PO00574</t>
  </si>
  <si>
    <t>PO00575</t>
  </si>
  <si>
    <t>PO00576</t>
  </si>
  <si>
    <t>PO00577</t>
  </si>
  <si>
    <t>PO00578</t>
  </si>
  <si>
    <t>PO00579</t>
  </si>
  <si>
    <t>PO00580</t>
  </si>
  <si>
    <t>PO00581</t>
  </si>
  <si>
    <t>PO00582</t>
  </si>
  <si>
    <t>PO00583</t>
  </si>
  <si>
    <t>PO00584</t>
  </si>
  <si>
    <t>PO00585</t>
  </si>
  <si>
    <t>PO00586</t>
  </si>
  <si>
    <t>PO00587</t>
  </si>
  <si>
    <t>PO00588</t>
  </si>
  <si>
    <t>PO00589</t>
  </si>
  <si>
    <t>PO00590</t>
  </si>
  <si>
    <t>PO00591</t>
  </si>
  <si>
    <t>PO00592</t>
  </si>
  <si>
    <t>PO00593</t>
  </si>
  <si>
    <t>PO00594</t>
  </si>
  <si>
    <t>PO00595</t>
  </si>
  <si>
    <t>PO00596</t>
  </si>
  <si>
    <t>PO00597</t>
  </si>
  <si>
    <t>PO00598</t>
  </si>
  <si>
    <t>PO00599</t>
  </si>
  <si>
    <t>PO00600</t>
  </si>
  <si>
    <t>sheet</t>
  </si>
  <si>
    <t>column</t>
  </si>
  <si>
    <t>data_type</t>
  </si>
  <si>
    <t>example_value</t>
  </si>
  <si>
    <t>non_empty_values</t>
  </si>
  <si>
    <t>distinct_values</t>
  </si>
  <si>
    <t>Suppliers</t>
  </si>
  <si>
    <t>Text</t>
  </si>
  <si>
    <t>Whole number</t>
  </si>
  <si>
    <t>15</t>
  </si>
  <si>
    <t>Purchase Orders</t>
  </si>
  <si>
    <t>Date/time</t>
  </si>
  <si>
    <t>2026-02-18</t>
  </si>
  <si>
    <t>2026-03-02</t>
  </si>
  <si>
    <t>2</t>
  </si>
  <si>
    <t>1272</t>
  </si>
  <si>
    <t>32</t>
  </si>
  <si>
    <t>Decimal number</t>
  </si>
  <si>
    <t>241.77</t>
  </si>
  <si>
    <t>0.035</t>
  </si>
  <si>
    <t>1</t>
  </si>
  <si>
    <t>po_count</t>
  </si>
  <si>
    <t>on_time_delivery_rate_pct</t>
  </si>
  <si>
    <t>qty_ordered_total</t>
  </si>
  <si>
    <t>qty_rejected_total</t>
  </si>
  <si>
    <t>rejection_rate_pct</t>
  </si>
  <si>
    <t>average_price_change</t>
  </si>
  <si>
    <t>average_responsiveness</t>
  </si>
  <si>
    <t>VS Code agent; exact model not shown</t>
  </si>
  <si>
    <t>Analyze T18_Supplier_scorecard_app_AI.xlsx and tell me the columns for Suppliers and Purchase Orders.</t>
  </si>
  <si>
    <t>Accurately extracted and listed all column names for both the Suppliers and Purchase Orders sheets without any errors.</t>
  </si>
  <si>
    <t>prompted Copilot to write the Pandas code to load and merge these two specific tables using the supplier_id key so I could begin calculating the baseline metrics.</t>
  </si>
  <si>
    <t>Kept</t>
  </si>
  <si>
    <t>ss_1</t>
  </si>
  <si>
    <t>Implement the code in project folder, use ipynb files.
Write the pandas code to load the 'Suppliers' and 'Purchase Orders' sheets from 'T18_Supplier_scorecard_app_AI.xlsx' and merge them together on 'supplier_id'.</t>
  </si>
  <si>
    <t>Create a venv folder and installed necessary libs like pandas.
Provided the correct pandas syntax to read the sheets and merge them. However, merging directly caused a many-to-one explosion, creating duplicate supplier rows for every purchase order instead of a clean baseline.</t>
  </si>
  <si>
    <t>Instructed the AI to aggregate the purchase orders by supplier_id first before merging, ensuring we maintain exactly one row per supplier for the scorecard.</t>
  </si>
  <si>
    <t>Partly kept</t>
  </si>
  <si>
    <t>ss_2</t>
  </si>
  <si>
    <t>Wait, doing a direct left merge creates duplicate supplier rows because there are multiple POs per supplier. Please aggregate the purchase_orders dataframe by supplier_id FIRST (just get the count of po_id for now), and then merge that aggregated dataframe with the suppliers dataframe.</t>
  </si>
  <si>
    <t>Successfully grouped the purchase orders and merged them cleanly with the suppliers table, resulting in the correct 40 unique supplier rows without duplicates.</t>
  </si>
  <si>
    <t>Moved on to defining the mathematical aggregations for the first two core KPIs (On-Time Delivery and Rejection Rate) now that the base dataframe structure is stable.</t>
  </si>
  <si>
    <t>ss_3</t>
  </si>
  <si>
    <t>In a new cell update the groupby function to calculate two KPIs for each supplier: 1) On-Time Delivery Rate as the percentage of POs where days_late is exactly 0, and 2) Rejection Rate as the total qty_rejected divided by the total qty_ordered.</t>
  </si>
  <si>
    <t>Successfully wrote correct pandas lambda functions for the On-Time Delivery and Rejection Rate aggregations, correctly handling the sum-over-sum math for rejections.</t>
  </si>
  <si>
    <t>Needed to add the final two raw metrics (average price change and responsiveness) to complete the base KPI calculations.</t>
  </si>
  <si>
    <t>ss_4</t>
  </si>
  <si>
    <t>Now in a new cell add the average price change (price_change_vs_last_po) and mean responsiveness rating (responsiveness_rating_1to5) to the groupby aggregation.</t>
  </si>
  <si>
    <t>Successfully calculated all 4 core metrics for each supplier. However, the output metrics are on completely different scales (percentages vs. raw decimals vs. 1-5 ratings), meaning we can't mathematically combine them yet.</t>
  </si>
  <si>
    <t>Asked AI to write a normalization function to map all these metrics to a standard 0-100 scale so we can apply weighted scores later.</t>
  </si>
  <si>
    <t>ss_5</t>
  </si>
  <si>
    <t>Write a function to normalize these 4 metrics to a standard 0-100 scale so we can apply weighted scores to them.</t>
  </si>
  <si>
    <t>Copilot normalized responsiveness correctly but got confused by the negative metrics, initially suggesting absolute values for price changes and inverting the rejection rate (making higher rejections score better).</t>
  </si>
  <si>
    <t>Instructed Copilot to explicitly treat Rejection Rate and Price Change as "lower is better" using inverted scoring.</t>
  </si>
  <si>
    <t>ss_6</t>
  </si>
  <si>
    <t>Fix the normalization logic: Rejection Rate and Price Change need inverted scoring. For Rejection Rate, score it as max(0, 100 - rejection_rate_pct). For Price Change, use min-max normalization relative to the dataset where the lowest price change equals 100 and the highest price change equals 0.</t>
  </si>
  <si>
    <t>Corrected the logic and successfully applied min-max scaling to 0-100, properly inverting the scores for Rejection Rate and Price Change so that lower original values yield higher scores.</t>
  </si>
  <si>
    <t>Proceeded to start building the Streamlit UI elements, beginning with the sidebar sliders to allow users to control the KPI weights.</t>
  </si>
  <si>
    <t>ss_7,ss_8</t>
  </si>
  <si>
    <t>Create a Streamlit sidebar with 4 sliders for KPI weights (On-Time Delivery, Rejection Rate, Price Change, Responsiveness). Default them to 30, 30, 20, 20.</t>
  </si>
  <si>
    <t>Built sliders, but didn't prevent users from exceeding a total of 100%. It just divided the final sum by the total weight instead of keeping the weights themselves constrained to a 100% scale in the UI.</t>
  </si>
  <si>
    <t>Why it needs to be 100?</t>
  </si>
  <si>
    <t>ss_9, ss_10</t>
  </si>
  <si>
    <t>Forcing the weights to sum to exactly 100 ensures the final supplier score is a true weighted average bounded between 0 and 100, making it universally intuitive for business stakeholders.</t>
  </si>
  <si>
    <t>Added a prompt to auto-balance the weights if the sum != 100.</t>
  </si>
  <si>
    <t>ss_11</t>
  </si>
  <si>
    <t>Update the sliders to dynamically auto-normalize the weights so they always sum exactly to 1.0 (100%).</t>
  </si>
  <si>
    <t>Added the column correctly.</t>
  </si>
  <si>
    <t>Needed to classify the scores into the 4 strategic tiers requested by the rubric.</t>
  </si>
  <si>
    <t>Calculate a total_score column using the normalized metrics and sidebar weights.</t>
  </si>
  <si>
    <t>Wrote an accurate function to categorize the total_score into the 4 required strategic tiers.</t>
  </si>
  <si>
    <t>The dashboard was entirely text-based up to this point; needed to add a visual tier distribution chart for the report summary.</t>
  </si>
  <si>
    <t>ss_12</t>
  </si>
  <si>
    <t>Classify suppliers into the 4 strategic tiers based on their total_score: Strategic (&gt;= 80), Maintain (65 to 79.9), Develop (50 to 64.9), and Exit (&lt; 50).</t>
  </si>
  <si>
    <t>Successfully wrote the classification logic using correct boundary conditions for the four tiers.</t>
  </si>
  <si>
    <t>The dashboard currently only shows tabular data; needed to add a visual bar chart to display the count of suppliers per tier.</t>
  </si>
  <si>
    <t>ss_13</t>
  </si>
  <si>
    <t>Generate a Streamlit bar chart showing the count of suppliers in each tier using st.bar_chart, and ensure the tiers are explicitly reindexed to display in proper hierarchical order (Strategic, Maintain, Develop, Exit) rather than alphabetical order.</t>
  </si>
  <si>
    <t>Successfully rendered the tier distribution bar chart using st.bar_chart and correctly applied explicit category reindexing to override default alphabetical sorting, ensuring the categories displayed in the proper hierarchical business order (Strategic, Maintain, Develop, Exit).</t>
  </si>
  <si>
    <t>Moved directly to implementing the automated, rule-based corrective feedback letter generation feature for underperforming suppliers in the Develop and Exit tiers.</t>
  </si>
  <si>
    <t>ss_14, ss_15</t>
  </si>
  <si>
    <t>Add a section that identifies suppliers in the 'Develop' or 'Exit' tiers and uses an expander to display an automated, rule-based corrective feedback letter for each.</t>
  </si>
  <si>
    <t>Successfully identified suppliers falling into the underperforming tiers ("Develop" and "Exit") and dynamically generated structured, rule-based corrective feedback letters inside Streamlit expanders. The letters accurately pulled in specific metrics like on-time delivery rates, rejection rates, price changes, and responsiveness ratings to form customized action items.</t>
  </si>
  <si>
    <t>Added file download buttons to allow procurement buyers to easily export the generated feedback letters as plain text files for vendor communication.</t>
  </si>
  <si>
    <t>ss_16, ss_17, ss_18</t>
  </si>
  <si>
    <t>Add a download button for each generated feedback letter so buyers can easily export the corrective action text as a plain text file.</t>
  </si>
  <si>
    <t>Successfully added functional file download buttons to each supplier expander, allowing users to instantly export the dynamically generated rule-based feedback letters as clean .txt files.</t>
  </si>
  <si>
    <t>With all 15 roadmap checkpoints completed and verified, the application is fully functional and ready for final report documentation.</t>
  </si>
  <si>
    <t>ss_19, ss_20</t>
  </si>
  <si>
    <t>Write a Python script using pandas to load suppliers.xlsx and Purchase Orders.xlsx, validate schema columns, and aggregate purchase orders by supplier_id to compute baseline metrics (order count, on-time delivery percentage, total quantity ordered and rejected, overall rejection rate, average price change, and average responsiveness).</t>
  </si>
  <si>
    <t>Successfully created a python script that reads source data (suppliers.xlsx and Purchase Orders.xlsx), validates required columns and relational integrity (verifying all 40 suppliers and 600 purchase orders), and aggregates the performance metrics to generate baseline results. It initially required placing the standalone source files in the working directory.</t>
  </si>
  <si>
    <t>Moved on to developing the spreadsheet exporter to write these calculated metrics directly as a styled Excel sheet into the submission workbook.</t>
  </si>
  <si>
    <t>ss_21</t>
  </si>
  <si>
    <t>Using openpyxl and pandas.ExcelWriter, append a new sheet named Baseline Metrics to an existing workbook (T18_Supplier_scorecard_app.xlsx) while preserving all original sheets. Apply professional styling: freeze panes at row 2, enable auto-filters, use an emerald header fill (#173C36) with white bold text, apply column width padding, and format price changes and rejection rates as percentages (0.00%).</t>
  </si>
  <si>
    <t>Successfully generated a script using pandas.ExcelWriter and openpyxl to calculate baseline metrics and append a professionally styled Baseline Metrics sheet while preserving all original workbook sheets. It correctly applied frozen panes, auto-filters, emerald header fills (#173C36), custom column widths, and percentage number formatting. However, it noted a discrepancy in the template filename (T18_Supplier_scorecard_app.xlsx versus T18_Supplier_scorecard_app_AI.xlsx), pausing before modifying files.</t>
  </si>
  <si>
    <t>Proceeded to finalize the wrapper script and error handling so it correctly references the active workspace template and handles workbook updates smoothly.</t>
  </si>
  <si>
    <t>Wrap the baseline export logic into a clean finalize_submission.py script with a main() function. Include error handling to gracefully catch PermissionError if the target Excel file is currently open in Microsoft Excel, printing a user-friendly instruction to close it before retrying.</t>
  </si>
  <si>
    <t>Successfully created finalize_submission.py featuring a clean main() entry point that integrates the baseline export workflow with robust error handling. It gracefully catches PermissionError if the workbook is open in Microsoft Excel and prompts the user to close it before retrying.</t>
  </si>
  <si>
    <t>erified the script execution end-to-end to ensure the completed submission workbook (T18_Supplier_scorecard_app_completed.xlsx) is successfully generated with the styled baseline metrics.</t>
  </si>
  <si>
    <t>gpt-6-luna</t>
  </si>
  <si>
    <t>ss24, ss_25</t>
  </si>
  <si>
    <t>ss_22. ss_23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</si>
</sst>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5" x14ac:knownFonts="1">
    <font>
      <sz val="10"/>
      <name val="Arial"/>
      <charset val="1"/>
    </font>
    <font>
      <b/>
      <sz val="14"/>
      <color rgb="FF1F4E5A"/>
      <name val="Arial"/>
      <family val="2"/>
    </font>
    <font>
      <i/>
      <sz val="10"/>
      <color rgb="FF555555"/>
      <name val="Arial"/>
      <family val="2"/>
    </font>
    <font>
      <b/>
      <sz val="10"/>
      <name val="Arial"/>
      <family val="2"/>
    </font>
    <font>
      <b/>
      <sz val="12"/>
      <color rgb="FF1F4E5A"/>
      <name val="Arial"/>
      <family val="2"/>
    </font>
    <font>
      <b/>
      <sz val="10"/>
      <color rgb="FFFFFFFF"/>
      <name val="Arial"/>
      <family val="2"/>
    </font>
    <font>
      <sz val="11"/>
      <color theme="1"/>
      <name val="Calibri"/>
      <family val="2"/>
      <charset val="1"/>
    </font>
    <font>
      <i/>
      <sz val="9"/>
      <color rgb="FF555555"/>
      <name val="Arial"/>
      <family val="2"/>
    </font>
    <font>
      <i/>
      <sz val="10"/>
      <color rgb="FF666666"/>
      <name val="Arial"/>
      <family val="2"/>
    </font>
    <font>
      <b/>
      <sz val="14"/>
      <color rgb="FF1F4E5A"/>
      <name val="Arial"/>
      <family val="2"/>
    </font>
    <font>
      <b/>
      <sz val="10"/>
      <color theme="1"/>
      <name val="Arial"/>
      <family val="2"/>
    </font>
    <font>
      <sz val="11"/>
      <color theme="1"/>
      <name val="Calibri"/>
      <family val="2"/>
    </font>
    <font>
      <b/>
      <sz val="10"/>
      <color rgb="FFFFFFFF"/>
      <name val="Arial"/>
      <family val="2"/>
    </font>
    <font>
      <sz val="10"/>
      <color theme="1"/>
      <name val="Calibri"/>
      <family val="2"/>
      <scheme val="minor"/>
    </font>
    <font>
      <b/>
      <sz val="10"/>
      <color rgb="FFFFFFFF"/>
      <name val="Arial"/>
      <family val="2"/>
    </font>
  </fonts>
  <fills count="8">
    <fill>
      <patternFill patternType="none"/>
    </fill>
    <fill>
      <patternFill patternType="gray125"/>
    </fill>
    <fill>
      <patternFill patternType="solid">
        <fgColor rgb="FFE8F1F2"/>
        <bgColor rgb="FFFFFFFF"/>
      </patternFill>
    </fill>
    <fill>
      <patternFill patternType="solid">
        <fgColor rgb="FF1F4E5A"/>
        <bgColor rgb="FF003366"/>
      </patternFill>
    </fill>
    <fill>
      <patternFill patternType="solid">
        <fgColor rgb="FFFFF2CC"/>
        <bgColor rgb="FFE8F1F2"/>
      </patternFill>
    </fill>
    <fill>
      <patternFill patternType="solid">
        <fgColor rgb="FFE8F1F2"/>
        <bgColor rgb="FFE8F1F2"/>
      </patternFill>
    </fill>
    <fill>
      <patternFill patternType="solid">
        <fgColor rgb="FF1F4E5A"/>
        <bgColor rgb="FF1F4E5A"/>
      </patternFill>
    </fill>
    <fill>
      <patternFill patternType="solid">
        <fgColor rgb="FF173C36"/>
      </patternFill>
    </fill>
  </fills>
  <borders count="2">
    <border>
      <left/>
      <right/>
      <top/>
      <bottom/>
      <diagonal/>
    </border>
    <border>
      <left style="thin">
        <color rgb="FFC9D3D6"/>
      </left>
      <right style="thin">
        <color rgb="FFC9D3D6"/>
      </right>
      <top style="thin">
        <color rgb="FFC9D3D6"/>
      </top>
      <bottom style="thin">
        <color rgb="FFC9D3D6"/>
      </bottom>
      <diagonal/>
    </border>
  </borders>
  <cellStyleXfs count="1">
    <xf numFmtId="0" fontId="0" fillId="0" borderId="0"/>
  </cellStyleXfs>
  <cellXfs count="25">
    <xf numFmtId="0" fontId="0" fillId="0" borderId="0" xfId="0"/>
    <xf numFmtId="0" fontId="1" fillId="0" borderId="0" xfId="0" applyFont="1"/>
    <xf numFmtId="0" fontId="2" fillId="0" borderId="0" xfId="0" applyFont="1"/>
    <xf numFmtId="0" fontId="3" fillId="2" borderId="1" xfId="0" applyFont="1" applyFill="1" applyBorder="1" applyAlignment="1">
      <alignment vertical="top" wrapText="1"/>
    </xf>
    <xf numFmtId="0" fontId="0" fillId="0" borderId="1" xfId="0" applyBorder="1" applyAlignment="1">
      <alignment vertical="top" wrapText="1"/>
    </xf>
    <xf numFmtId="0" fontId="4" fillId="0" borderId="0" xfId="0" applyFont="1"/>
    <xf numFmtId="0" fontId="5" fillId="3" borderId="1" xfId="0" applyFont="1" applyFill="1" applyBorder="1" applyAlignment="1">
      <alignment vertical="center" wrapText="1"/>
    </xf>
    <xf numFmtId="0" fontId="6" fillId="0" borderId="1" xfId="0" applyFont="1" applyBorder="1" applyAlignment="1">
      <alignment vertical="top" wrapText="1"/>
    </xf>
    <xf numFmtId="0" fontId="3" fillId="0" borderId="0" xfId="0" applyFont="1"/>
    <xf numFmtId="164" fontId="6" fillId="0" borderId="0" xfId="0" applyNumberFormat="1" applyFont="1"/>
    <xf numFmtId="3" fontId="6" fillId="0" borderId="0" xfId="0" applyNumberFormat="1" applyFont="1"/>
    <xf numFmtId="0" fontId="7" fillId="0" borderId="0" xfId="0" applyFont="1"/>
    <xf numFmtId="0" fontId="8" fillId="0" borderId="1" xfId="0" applyFont="1" applyBorder="1" applyAlignment="1">
      <alignment vertical="top" wrapText="1"/>
    </xf>
    <xf numFmtId="164" fontId="8" fillId="0" borderId="1" xfId="0" applyNumberFormat="1" applyFont="1" applyBorder="1" applyAlignment="1">
      <alignment vertical="top" wrapText="1"/>
    </xf>
    <xf numFmtId="164" fontId="6" fillId="4" borderId="1" xfId="0" applyNumberFormat="1" applyFont="1" applyFill="1" applyBorder="1" applyAlignment="1">
      <alignment vertical="top" wrapText="1"/>
    </xf>
    <xf numFmtId="0" fontId="6" fillId="4" borderId="1" xfId="0" applyFont="1" applyFill="1" applyBorder="1" applyAlignment="1">
      <alignment vertical="top" wrapText="1"/>
    </xf>
    <xf numFmtId="0" fontId="9" fillId="0" borderId="0" xfId="0" applyFont="1"/>
    <xf numFmtId="0" fontId="10" fillId="5" borderId="1" xfId="0" applyFont="1" applyFill="1" applyBorder="1" applyAlignment="1">
      <alignment vertical="top" wrapText="1"/>
    </xf>
    <xf numFmtId="0" fontId="11" fillId="0" borderId="1" xfId="0" applyFont="1" applyBorder="1" applyAlignment="1">
      <alignment vertical="top" wrapText="1"/>
    </xf>
    <xf numFmtId="0" fontId="12" fillId="6" borderId="1" xfId="0" applyFont="1" applyFill="1" applyBorder="1" applyAlignment="1">
      <alignment vertical="center" wrapText="1"/>
    </xf>
    <xf numFmtId="0" fontId="13" fillId="0" borderId="0" xfId="0" applyFont="1"/>
    <xf numFmtId="0" fontId="10" fillId="0" borderId="0" xfId="0" applyFont="1"/>
    <xf numFmtId="0" fontId="14" fillId="7" borderId="0" xfId="0" applyFont="1" applyFill="1"/>
    <xf numFmtId="2" fontId="0" fillId="0" borderId="0" xfId="0" applyNumberFormat="1"/>
    <xf numFmtId="10" fontId="0" fillId="0" borderId="0" xfId="0" applyNumberForma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8F1F2"/>
      <rgbColor rgb="FF660066"/>
      <rgbColor rgb="FFFF8080"/>
      <rgbColor rgb="FF0066CC"/>
      <rgbColor rgb="FFC9D3D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555555"/>
      <rgbColor rgb="FF1F4E5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Tasks"/>
      <sheetName val="Theme Summary"/>
      <sheetName val="Rubric (30 marks)"/>
      <sheetName val="Marks Sheet"/>
    </sheetNames>
    <sheetDataSet>
      <sheetData sheetId="0" refreshError="1"/>
      <sheetData sheetId="1">
        <row r="2">
          <cell r="D2" t="str">
            <v>A. No-code apps &amp; dashboards</v>
          </cell>
        </row>
        <row r="3">
          <cell r="D3" t="str">
            <v>A. No-code apps &amp; dashboards</v>
          </cell>
        </row>
        <row r="4">
          <cell r="D4" t="str">
            <v>A. No-code apps &amp; dashboards</v>
          </cell>
        </row>
        <row r="5">
          <cell r="D5" t="str">
            <v>A. No-code apps &amp; dashboards</v>
          </cell>
        </row>
        <row r="6">
          <cell r="D6" t="str">
            <v>A. No-code apps &amp; dashboards</v>
          </cell>
        </row>
        <row r="7">
          <cell r="D7" t="str">
            <v>A. No-code apps &amp; dashboards</v>
          </cell>
        </row>
        <row r="8">
          <cell r="D8" t="str">
            <v>A. No-code apps &amp; dashboards</v>
          </cell>
        </row>
        <row r="9">
          <cell r="D9" t="str">
            <v>A. No-code apps &amp; dashboards</v>
          </cell>
        </row>
        <row r="10">
          <cell r="D10" t="str">
            <v>A. No-code apps &amp; dashboards</v>
          </cell>
        </row>
        <row r="11">
          <cell r="D11" t="str">
            <v>A. No-code apps &amp; dashboards</v>
          </cell>
        </row>
        <row r="12">
          <cell r="D12" t="str">
            <v>A. No-code apps &amp; dashboards</v>
          </cell>
        </row>
        <row r="13">
          <cell r="D13" t="str">
            <v>A. No-code apps &amp; dashboards</v>
          </cell>
        </row>
        <row r="14">
          <cell r="D14" t="str">
            <v>A. No-code apps &amp; dashboards</v>
          </cell>
        </row>
        <row r="15">
          <cell r="D15" t="str">
            <v>A. No-code apps &amp; dashboards</v>
          </cell>
        </row>
        <row r="16">
          <cell r="D16" t="str">
            <v>A. No-code apps &amp; dashboards</v>
          </cell>
        </row>
        <row r="17">
          <cell r="D17" t="str">
            <v>A. No-code apps &amp; dashboards</v>
          </cell>
        </row>
        <row r="18">
          <cell r="D18" t="str">
            <v>A. No-code apps &amp; dashboards</v>
          </cell>
        </row>
        <row r="19">
          <cell r="D19" t="str">
            <v>A. No-code apps &amp; dashboards</v>
          </cell>
        </row>
        <row r="20">
          <cell r="D20" t="str">
            <v>A. No-code apps &amp; dashboards</v>
          </cell>
        </row>
        <row r="21">
          <cell r="D21" t="str">
            <v>A. No-code apps &amp; dashboards</v>
          </cell>
        </row>
        <row r="22">
          <cell r="D22" t="str">
            <v>B. Chatbots &amp; AI assistants</v>
          </cell>
        </row>
        <row r="23">
          <cell r="D23" t="str">
            <v>B. Chatbots &amp; AI assistants</v>
          </cell>
        </row>
        <row r="24">
          <cell r="D24" t="str">
            <v>B. Chatbots &amp; AI assistants</v>
          </cell>
        </row>
        <row r="25">
          <cell r="D25" t="str">
            <v>B. Chatbots &amp; AI assistants</v>
          </cell>
        </row>
        <row r="26">
          <cell r="D26" t="str">
            <v>B. Chatbots &amp; AI assistants</v>
          </cell>
        </row>
        <row r="27">
          <cell r="D27" t="str">
            <v>B. Chatbots &amp; AI assistants</v>
          </cell>
        </row>
        <row r="28">
          <cell r="D28" t="str">
            <v>B. Chatbots &amp; AI assistants</v>
          </cell>
        </row>
        <row r="29">
          <cell r="D29" t="str">
            <v>B. Chatbots &amp; AI assistants</v>
          </cell>
        </row>
        <row r="30">
          <cell r="D30" t="str">
            <v>B. Chatbots &amp; AI assistants</v>
          </cell>
        </row>
        <row r="31">
          <cell r="D31" t="str">
            <v>B. Chatbots &amp; AI assistants</v>
          </cell>
        </row>
        <row r="32">
          <cell r="D32" t="str">
            <v>B. Chatbots &amp; AI assistants</v>
          </cell>
        </row>
        <row r="33">
          <cell r="D33" t="str">
            <v>B. Chatbots &amp; AI assistants</v>
          </cell>
        </row>
        <row r="34">
          <cell r="D34" t="str">
            <v>B. Chatbots &amp; AI assistants</v>
          </cell>
        </row>
        <row r="35">
          <cell r="D35" t="str">
            <v>B. Chatbots &amp; AI assistants</v>
          </cell>
        </row>
        <row r="36">
          <cell r="D36" t="str">
            <v>B. Chatbots &amp; AI assistants</v>
          </cell>
        </row>
        <row r="37">
          <cell r="D37" t="str">
            <v>C. AI text analytics</v>
          </cell>
        </row>
        <row r="38">
          <cell r="D38" t="str">
            <v>C. AI text analytics</v>
          </cell>
        </row>
        <row r="39">
          <cell r="D39" t="str">
            <v>C. AI text analytics</v>
          </cell>
        </row>
        <row r="40">
          <cell r="D40" t="str">
            <v>C. AI text analytics</v>
          </cell>
        </row>
        <row r="41">
          <cell r="D41" t="str">
            <v>C. AI text analytics</v>
          </cell>
        </row>
        <row r="42">
          <cell r="D42" t="str">
            <v>C. AI text analytics</v>
          </cell>
        </row>
        <row r="43">
          <cell r="D43" t="str">
            <v>C. AI text analytics</v>
          </cell>
        </row>
        <row r="44">
          <cell r="D44" t="str">
            <v>C. AI text analytics</v>
          </cell>
        </row>
        <row r="45">
          <cell r="D45" t="str">
            <v>C. AI text analytics</v>
          </cell>
        </row>
        <row r="46">
          <cell r="D46" t="str">
            <v>C. AI text analytics</v>
          </cell>
        </row>
        <row r="47">
          <cell r="D47" t="str">
            <v>C. AI text analytics</v>
          </cell>
        </row>
        <row r="48">
          <cell r="D48" t="str">
            <v>C. AI text analytics</v>
          </cell>
        </row>
        <row r="49">
          <cell r="D49" t="str">
            <v>C. AI text analytics</v>
          </cell>
        </row>
        <row r="50">
          <cell r="D50" t="str">
            <v>C. AI text analytics</v>
          </cell>
        </row>
        <row r="51">
          <cell r="D51" t="str">
            <v>C. AI text analytics</v>
          </cell>
        </row>
        <row r="52">
          <cell r="D52" t="str">
            <v>D. Marketing &amp; content builds</v>
          </cell>
        </row>
        <row r="53">
          <cell r="D53" t="str">
            <v>D. Marketing &amp; content builds</v>
          </cell>
        </row>
        <row r="54">
          <cell r="D54" t="str">
            <v>D. Marketing &amp; content builds</v>
          </cell>
        </row>
      </sheetData>
      <sheetData sheetId="2" refreshError="1"/>
      <sheetData sheetId="3" refreshError="1"/>
      <sheetData sheetId="4" refreshError="1"/>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selection activeCell="B18" sqref="B18"/>
    </sheetView>
  </sheetViews>
  <sheetFormatPr defaultColWidth="142" defaultRowHeight="12.75" x14ac:dyDescent="0.2"/>
  <cols>
    <col min="1" max="1" width="59.7109375" bestFit="1" customWidth="1"/>
  </cols>
  <sheetData>
    <row r="1" spans="1:2" ht="18" customHeight="1" x14ac:dyDescent="0.25">
      <c r="A1" s="16" t="s">
        <v>20</v>
      </c>
    </row>
    <row r="3" spans="1:2" ht="30" customHeight="1" x14ac:dyDescent="0.2">
      <c r="A3" s="17" t="s">
        <v>21</v>
      </c>
      <c r="B3" s="18" t="s">
        <v>22</v>
      </c>
    </row>
    <row r="4" spans="1:2" ht="15" customHeight="1" x14ac:dyDescent="0.2">
      <c r="A4" s="17" t="s">
        <v>23</v>
      </c>
      <c r="B4" s="18" t="s">
        <v>24</v>
      </c>
    </row>
    <row r="5" spans="1:2" ht="30" customHeight="1" x14ac:dyDescent="0.2">
      <c r="A5" s="17" t="s">
        <v>25</v>
      </c>
      <c r="B5" s="18" t="s">
        <v>26</v>
      </c>
    </row>
    <row r="6" spans="1:2" ht="45" customHeight="1" x14ac:dyDescent="0.2">
      <c r="A6" s="17" t="s">
        <v>27</v>
      </c>
      <c r="B6" s="18" t="s">
        <v>28</v>
      </c>
    </row>
    <row r="7" spans="1:2" ht="45" customHeight="1" x14ac:dyDescent="0.2">
      <c r="A7" s="17" t="s">
        <v>29</v>
      </c>
      <c r="B7" s="18" t="s">
        <v>30</v>
      </c>
    </row>
    <row r="8" spans="1:2" ht="15" customHeight="1" x14ac:dyDescent="0.2">
      <c r="A8" s="17" t="s">
        <v>31</v>
      </c>
      <c r="B8" s="18" t="s">
        <v>32</v>
      </c>
    </row>
    <row r="9" spans="1:2" ht="30" customHeight="1" x14ac:dyDescent="0.2">
      <c r="A9" s="17" t="s">
        <v>33</v>
      </c>
      <c r="B9" s="18" t="s">
        <v>34</v>
      </c>
    </row>
    <row r="10" spans="1:2" ht="30" customHeight="1" x14ac:dyDescent="0.2">
      <c r="A10" s="17" t="s">
        <v>35</v>
      </c>
      <c r="B10" s="18" t="s">
        <v>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
  <sheetViews>
    <sheetView workbookViewId="0">
      <selection activeCell="C1" sqref="C1"/>
    </sheetView>
  </sheetViews>
  <sheetFormatPr defaultColWidth="33.7109375" defaultRowHeight="12.75" x14ac:dyDescent="0.2"/>
  <cols>
    <col min="1" max="1" width="4" bestFit="1" customWidth="1"/>
    <col min="2" max="2" width="28.42578125" bestFit="1" customWidth="1"/>
    <col min="3" max="3" width="21.42578125" bestFit="1" customWidth="1"/>
    <col min="4" max="4" width="32.28515625" bestFit="1" customWidth="1"/>
    <col min="5" max="5" width="31.28515625" bestFit="1" customWidth="1"/>
    <col min="6" max="6" width="31.7109375" bestFit="1" customWidth="1"/>
    <col min="7" max="7" width="30.85546875" bestFit="1" customWidth="1"/>
    <col min="8" max="8" width="32" bestFit="1" customWidth="1"/>
  </cols>
  <sheetData>
    <row r="1" spans="1:8" ht="135" customHeight="1" x14ac:dyDescent="0.2">
      <c r="A1" s="18" t="s">
        <v>37</v>
      </c>
      <c r="B1" s="18" t="s">
        <v>38</v>
      </c>
      <c r="C1" s="18" t="s">
        <v>39</v>
      </c>
      <c r="D1" s="18" t="s">
        <v>40</v>
      </c>
      <c r="E1" s="18" t="s">
        <v>41</v>
      </c>
      <c r="F1" s="18" t="s">
        <v>42</v>
      </c>
      <c r="G1" s="18" t="s">
        <v>43</v>
      </c>
      <c r="H1" s="18" t="s">
        <v>44</v>
      </c>
    </row>
    <row r="3" spans="1:8" ht="15" customHeight="1"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1"/>
  <sheetViews>
    <sheetView workbookViewId="0">
      <selection activeCell="C26" sqref="C26"/>
    </sheetView>
  </sheetViews>
  <sheetFormatPr defaultRowHeight="12.75" x14ac:dyDescent="0.2"/>
  <cols>
    <col min="1" max="1" width="35.5703125" bestFit="1" customWidth="1"/>
    <col min="2" max="2" width="8.140625" bestFit="1" customWidth="1"/>
    <col min="3" max="3" width="43" customWidth="1"/>
    <col min="4" max="4" width="35" bestFit="1" customWidth="1"/>
    <col min="5" max="5" width="17.28515625" bestFit="1" customWidth="1"/>
    <col min="6" max="6" width="20.140625" bestFit="1" customWidth="1"/>
    <col min="7" max="7" width="16.5703125" bestFit="1" customWidth="1"/>
  </cols>
  <sheetData>
    <row r="1" spans="1:7" ht="25.5" customHeight="1" x14ac:dyDescent="0.2">
      <c r="A1" s="19" t="s">
        <v>45</v>
      </c>
      <c r="B1" s="19" t="s">
        <v>46</v>
      </c>
    </row>
    <row r="2" spans="1:7" x14ac:dyDescent="0.2">
      <c r="A2" s="20" t="s">
        <v>38</v>
      </c>
      <c r="B2" s="20" t="e">
        <f>COUNTIF([1]Tasks!$D$2:$D$81,A2)</f>
        <v>#VALUE!</v>
      </c>
    </row>
    <row r="3" spans="1:7" x14ac:dyDescent="0.2">
      <c r="A3" s="20" t="s">
        <v>47</v>
      </c>
      <c r="B3" s="20" t="e">
        <f>COUNTIF([1]Tasks!$D$2:$D$81,A3)</f>
        <v>#VALUE!</v>
      </c>
    </row>
    <row r="4" spans="1:7" x14ac:dyDescent="0.2">
      <c r="A4" s="20" t="s">
        <v>48</v>
      </c>
      <c r="B4" s="20" t="e">
        <f>COUNTIF([1]Tasks!$D$2:$D$81,A4)</f>
        <v>#VALUE!</v>
      </c>
    </row>
    <row r="5" spans="1:7" x14ac:dyDescent="0.2">
      <c r="A5" s="20" t="s">
        <v>49</v>
      </c>
      <c r="B5" s="20" t="e">
        <f>COUNTIF([1]Tasks!$D$2:$D$81,A5)</f>
        <v>#VALUE!</v>
      </c>
    </row>
    <row r="6" spans="1:7" x14ac:dyDescent="0.2">
      <c r="A6" s="20" t="s">
        <v>50</v>
      </c>
      <c r="B6" s="20" t="e">
        <f>COUNTIF([1]Tasks!$D$2:$D$81,A6)</f>
        <v>#VALUE!</v>
      </c>
    </row>
    <row r="7" spans="1:7" x14ac:dyDescent="0.2">
      <c r="A7" s="20" t="s">
        <v>51</v>
      </c>
      <c r="B7" s="20" t="e">
        <f>COUNTIF([1]Tasks!$D$2:$D$81,A7)</f>
        <v>#VALUE!</v>
      </c>
    </row>
    <row r="8" spans="1:7" x14ac:dyDescent="0.2">
      <c r="A8" s="21" t="s">
        <v>52</v>
      </c>
      <c r="B8" s="21" t="e">
        <f>SUM(B2:B7)</f>
        <v>#VALUE!</v>
      </c>
    </row>
    <row r="14" spans="1:7" x14ac:dyDescent="0.2">
      <c r="A14" t="s">
        <v>53</v>
      </c>
    </row>
    <row r="15" spans="1:7" x14ac:dyDescent="0.2">
      <c r="A15" s="19" t="s">
        <v>54</v>
      </c>
      <c r="B15" s="19" t="s">
        <v>55</v>
      </c>
      <c r="C15" s="19" t="s">
        <v>56</v>
      </c>
      <c r="D15" s="19" t="s">
        <v>57</v>
      </c>
      <c r="E15" s="19" t="s">
        <v>58</v>
      </c>
      <c r="F15" s="19" t="s">
        <v>59</v>
      </c>
      <c r="G15" s="19" t="s">
        <v>60</v>
      </c>
    </row>
    <row r="16" spans="1:7" ht="45" customHeight="1" x14ac:dyDescent="0.2">
      <c r="A16" s="18" t="s">
        <v>61</v>
      </c>
      <c r="B16" s="18">
        <v>8</v>
      </c>
      <c r="C16" s="18" t="s">
        <v>62</v>
      </c>
      <c r="D16" s="18" t="s">
        <v>63</v>
      </c>
      <c r="E16" s="18" t="s">
        <v>64</v>
      </c>
      <c r="F16" s="18" t="s">
        <v>65</v>
      </c>
      <c r="G16" s="18" t="s">
        <v>66</v>
      </c>
    </row>
    <row r="17" spans="1:7" ht="45" customHeight="1" x14ac:dyDescent="0.2">
      <c r="A17" s="18" t="s">
        <v>67</v>
      </c>
      <c r="B17" s="18">
        <v>7</v>
      </c>
      <c r="C17" s="18" t="s">
        <v>68</v>
      </c>
      <c r="D17" s="18" t="s">
        <v>69</v>
      </c>
      <c r="E17" s="18" t="s">
        <v>70</v>
      </c>
      <c r="F17" s="18" t="s">
        <v>71</v>
      </c>
      <c r="G17" s="18" t="s">
        <v>72</v>
      </c>
    </row>
    <row r="18" spans="1:7" ht="45" customHeight="1" x14ac:dyDescent="0.2">
      <c r="A18" s="18" t="s">
        <v>73</v>
      </c>
      <c r="B18" s="18">
        <v>5</v>
      </c>
      <c r="C18" s="18" t="s">
        <v>74</v>
      </c>
      <c r="D18" s="18" t="s">
        <v>75</v>
      </c>
      <c r="E18" s="18" t="s">
        <v>76</v>
      </c>
      <c r="F18" s="18" t="s">
        <v>77</v>
      </c>
      <c r="G18" s="18" t="s">
        <v>78</v>
      </c>
    </row>
    <row r="19" spans="1:7" ht="30" customHeight="1" x14ac:dyDescent="0.2">
      <c r="A19" s="18" t="s">
        <v>79</v>
      </c>
      <c r="B19" s="18">
        <v>6</v>
      </c>
      <c r="C19" s="18" t="s">
        <v>80</v>
      </c>
      <c r="D19" s="18" t="s">
        <v>81</v>
      </c>
      <c r="E19" s="18" t="s">
        <v>82</v>
      </c>
      <c r="F19" s="18" t="s">
        <v>83</v>
      </c>
      <c r="G19" s="18" t="s">
        <v>84</v>
      </c>
    </row>
    <row r="20" spans="1:7" ht="30" customHeight="1" x14ac:dyDescent="0.2">
      <c r="A20" s="18" t="s">
        <v>85</v>
      </c>
      <c r="B20" s="18">
        <v>4</v>
      </c>
      <c r="C20" s="18" t="s">
        <v>86</v>
      </c>
      <c r="D20" s="18" t="s">
        <v>87</v>
      </c>
      <c r="E20" s="18" t="s">
        <v>88</v>
      </c>
      <c r="F20" s="18" t="s">
        <v>89</v>
      </c>
      <c r="G20" s="18" t="s">
        <v>84</v>
      </c>
    </row>
    <row r="21" spans="1:7" x14ac:dyDescent="0.2">
      <c r="A21" s="21" t="s">
        <v>52</v>
      </c>
      <c r="B21" s="21">
        <f>SUM(B16:B20)</f>
        <v>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3"/>
  <sheetViews>
    <sheetView topLeftCell="A14" zoomScaleNormal="100" workbookViewId="0">
      <selection activeCell="B32" sqref="B32"/>
    </sheetView>
  </sheetViews>
  <sheetFormatPr defaultColWidth="8.7109375" defaultRowHeight="12.75" x14ac:dyDescent="0.2"/>
  <cols>
    <col min="1" max="1" width="26" customWidth="1"/>
    <col min="2" max="2" width="95" customWidth="1"/>
    <col min="3" max="3" width="10" customWidth="1"/>
    <col min="4" max="4" width="22" customWidth="1"/>
    <col min="5" max="6" width="20" customWidth="1"/>
    <col min="7" max="7" width="16" customWidth="1"/>
  </cols>
  <sheetData>
    <row r="1" spans="1:2" ht="18" customHeight="1" x14ac:dyDescent="0.25">
      <c r="A1" s="1" t="s">
        <v>90</v>
      </c>
    </row>
    <row r="2" spans="1:2" x14ac:dyDescent="0.2">
      <c r="A2" s="2" t="s">
        <v>91</v>
      </c>
    </row>
    <row r="4" spans="1:2" ht="18" customHeight="1" x14ac:dyDescent="0.2">
      <c r="A4" s="3" t="s">
        <v>92</v>
      </c>
      <c r="B4" s="4" t="s">
        <v>37</v>
      </c>
    </row>
    <row r="5" spans="1:2" ht="18" customHeight="1" x14ac:dyDescent="0.2">
      <c r="A5" s="3" t="s">
        <v>93</v>
      </c>
      <c r="B5" s="4" t="s">
        <v>39</v>
      </c>
    </row>
    <row r="6" spans="1:2" ht="18" customHeight="1" x14ac:dyDescent="0.2">
      <c r="A6" s="3" t="s">
        <v>45</v>
      </c>
      <c r="B6" s="4" t="s">
        <v>94</v>
      </c>
    </row>
    <row r="7" spans="1:2" ht="27.75" customHeight="1" x14ac:dyDescent="0.2">
      <c r="A7" s="3" t="s">
        <v>95</v>
      </c>
      <c r="B7" s="4" t="s">
        <v>44</v>
      </c>
    </row>
    <row r="8" spans="1:2" ht="69.75" customHeight="1" x14ac:dyDescent="0.2">
      <c r="A8" s="3" t="s">
        <v>96</v>
      </c>
      <c r="B8" s="4" t="s">
        <v>40</v>
      </c>
    </row>
    <row r="9" spans="1:2" ht="18" customHeight="1" x14ac:dyDescent="0.2">
      <c r="A9" s="3" t="s">
        <v>97</v>
      </c>
      <c r="B9" s="4" t="s">
        <v>41</v>
      </c>
    </row>
    <row r="10" spans="1:2" ht="42" customHeight="1" x14ac:dyDescent="0.2">
      <c r="A10" s="3" t="s">
        <v>98</v>
      </c>
      <c r="B10" s="4" t="s">
        <v>99</v>
      </c>
    </row>
    <row r="11" spans="1:2" ht="42" customHeight="1" x14ac:dyDescent="0.2">
      <c r="A11" s="3" t="s">
        <v>100</v>
      </c>
      <c r="B11" s="4" t="s">
        <v>101</v>
      </c>
    </row>
    <row r="12" spans="1:2" ht="18" customHeight="1" x14ac:dyDescent="0.2">
      <c r="A12" s="3" t="s">
        <v>102</v>
      </c>
      <c r="B12" s="4" t="s">
        <v>103</v>
      </c>
    </row>
    <row r="13" spans="1:2" ht="27.75" customHeight="1" x14ac:dyDescent="0.2">
      <c r="A13" s="3" t="s">
        <v>104</v>
      </c>
      <c r="B13" s="4" t="s">
        <v>105</v>
      </c>
    </row>
    <row r="14" spans="1:2" ht="42" customHeight="1" x14ac:dyDescent="0.2">
      <c r="A14" s="3" t="s">
        <v>106</v>
      </c>
      <c r="B14" s="4" t="s">
        <v>107</v>
      </c>
    </row>
    <row r="16" spans="1:2" ht="15.75" customHeight="1" x14ac:dyDescent="0.25">
      <c r="A16" s="5" t="s">
        <v>108</v>
      </c>
    </row>
    <row r="17" spans="1:7" x14ac:dyDescent="0.2">
      <c r="A17" s="6" t="s">
        <v>54</v>
      </c>
      <c r="B17" s="6" t="s">
        <v>56</v>
      </c>
      <c r="C17" s="6" t="s">
        <v>55</v>
      </c>
      <c r="D17" s="6" t="s">
        <v>57</v>
      </c>
      <c r="E17" s="6" t="s">
        <v>58</v>
      </c>
      <c r="F17" s="6" t="s">
        <v>59</v>
      </c>
      <c r="G17" s="6" t="s">
        <v>60</v>
      </c>
    </row>
    <row r="18" spans="1:7" ht="42" customHeight="1" x14ac:dyDescent="0.2">
      <c r="A18" s="7" t="s">
        <v>61</v>
      </c>
      <c r="B18" s="7" t="s">
        <v>62</v>
      </c>
      <c r="C18" s="7">
        <v>8</v>
      </c>
      <c r="D18" s="7" t="s">
        <v>63</v>
      </c>
      <c r="E18" s="7" t="s">
        <v>64</v>
      </c>
      <c r="F18" s="7" t="s">
        <v>65</v>
      </c>
      <c r="G18" s="7" t="s">
        <v>66</v>
      </c>
    </row>
    <row r="19" spans="1:7" ht="42" customHeight="1" x14ac:dyDescent="0.2">
      <c r="A19" s="7" t="s">
        <v>67</v>
      </c>
      <c r="B19" s="7" t="s">
        <v>68</v>
      </c>
      <c r="C19" s="7">
        <v>7</v>
      </c>
      <c r="D19" s="7" t="s">
        <v>69</v>
      </c>
      <c r="E19" s="7" t="s">
        <v>70</v>
      </c>
      <c r="F19" s="7" t="s">
        <v>71</v>
      </c>
      <c r="G19" s="7" t="s">
        <v>72</v>
      </c>
    </row>
    <row r="20" spans="1:7" ht="42" customHeight="1" x14ac:dyDescent="0.2">
      <c r="A20" s="7" t="s">
        <v>73</v>
      </c>
      <c r="B20" s="7" t="s">
        <v>74</v>
      </c>
      <c r="C20" s="7">
        <v>5</v>
      </c>
      <c r="D20" s="7" t="s">
        <v>75</v>
      </c>
      <c r="E20" s="7" t="s">
        <v>76</v>
      </c>
      <c r="F20" s="7" t="s">
        <v>77</v>
      </c>
      <c r="G20" s="7" t="s">
        <v>78</v>
      </c>
    </row>
    <row r="21" spans="1:7" ht="42" customHeight="1" x14ac:dyDescent="0.2">
      <c r="A21" s="7" t="s">
        <v>79</v>
      </c>
      <c r="B21" s="7" t="s">
        <v>80</v>
      </c>
      <c r="C21" s="7">
        <v>6</v>
      </c>
      <c r="D21" s="7" t="s">
        <v>81</v>
      </c>
      <c r="E21" s="7" t="s">
        <v>82</v>
      </c>
      <c r="F21" s="7" t="s">
        <v>83</v>
      </c>
      <c r="G21" s="7" t="s">
        <v>84</v>
      </c>
    </row>
    <row r="22" spans="1:7" ht="42" customHeight="1" x14ac:dyDescent="0.2">
      <c r="A22" s="7" t="s">
        <v>85</v>
      </c>
      <c r="B22" s="7" t="s">
        <v>86</v>
      </c>
      <c r="C22" s="7">
        <v>4</v>
      </c>
      <c r="D22" s="7" t="s">
        <v>87</v>
      </c>
      <c r="E22" s="7" t="s">
        <v>88</v>
      </c>
      <c r="F22" s="7" t="s">
        <v>89</v>
      </c>
      <c r="G22" s="7" t="s">
        <v>84</v>
      </c>
    </row>
    <row r="23" spans="1:7" x14ac:dyDescent="0.2">
      <c r="A23" s="8" t="s">
        <v>52</v>
      </c>
      <c r="C23" s="8">
        <f>SUM(C18:C22)</f>
        <v>30</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1"/>
  <sheetViews>
    <sheetView zoomScaleNormal="100" workbookViewId="0">
      <pane ySplit="1" topLeftCell="A22" activePane="bottomLeft" state="frozen"/>
      <selection pane="bottomLeft" activeCell="G48" sqref="G48"/>
    </sheetView>
  </sheetViews>
  <sheetFormatPr defaultColWidth="8.7109375" defaultRowHeight="12.75" x14ac:dyDescent="0.2"/>
  <cols>
    <col min="1" max="1" width="13" customWidth="1"/>
    <col min="2" max="2" width="15" customWidth="1"/>
    <col min="3" max="3" width="11" customWidth="1"/>
    <col min="4" max="4" width="10" customWidth="1"/>
    <col min="5" max="6" width="15" customWidth="1"/>
    <col min="7" max="7" width="10" customWidth="1"/>
  </cols>
  <sheetData>
    <row r="1" spans="1:7" x14ac:dyDescent="0.2">
      <c r="A1" s="6" t="s">
        <v>109</v>
      </c>
      <c r="B1" s="6" t="s">
        <v>110</v>
      </c>
      <c r="C1" s="6" t="s">
        <v>111</v>
      </c>
      <c r="D1" s="6" t="s">
        <v>112</v>
      </c>
      <c r="E1" s="6" t="s">
        <v>113</v>
      </c>
      <c r="F1" s="6" t="s">
        <v>114</v>
      </c>
      <c r="G1" s="6" t="s">
        <v>115</v>
      </c>
    </row>
    <row r="2" spans="1:7" x14ac:dyDescent="0.2">
      <c r="A2" t="s">
        <v>116</v>
      </c>
      <c r="B2" t="s">
        <v>117</v>
      </c>
      <c r="C2" t="s">
        <v>118</v>
      </c>
      <c r="D2" t="s">
        <v>119</v>
      </c>
      <c r="E2" t="s">
        <v>120</v>
      </c>
      <c r="F2">
        <v>15</v>
      </c>
      <c r="G2" t="s">
        <v>121</v>
      </c>
    </row>
    <row r="3" spans="1:7" x14ac:dyDescent="0.2">
      <c r="A3" t="s">
        <v>122</v>
      </c>
      <c r="B3" t="s">
        <v>123</v>
      </c>
      <c r="C3" t="s">
        <v>124</v>
      </c>
      <c r="D3" t="s">
        <v>125</v>
      </c>
      <c r="E3" t="s">
        <v>126</v>
      </c>
      <c r="F3">
        <v>17</v>
      </c>
      <c r="G3" t="s">
        <v>127</v>
      </c>
    </row>
    <row r="4" spans="1:7" x14ac:dyDescent="0.2">
      <c r="A4" t="s">
        <v>128</v>
      </c>
      <c r="B4" t="s">
        <v>129</v>
      </c>
      <c r="C4" t="s">
        <v>118</v>
      </c>
      <c r="D4" t="s">
        <v>125</v>
      </c>
      <c r="E4" t="s">
        <v>120</v>
      </c>
      <c r="F4">
        <v>1</v>
      </c>
      <c r="G4" t="s">
        <v>121</v>
      </c>
    </row>
    <row r="5" spans="1:7" x14ac:dyDescent="0.2">
      <c r="A5" t="s">
        <v>130</v>
      </c>
      <c r="B5" t="s">
        <v>131</v>
      </c>
      <c r="C5" t="s">
        <v>132</v>
      </c>
      <c r="D5" t="s">
        <v>125</v>
      </c>
      <c r="E5" t="s">
        <v>126</v>
      </c>
      <c r="F5">
        <v>16</v>
      </c>
      <c r="G5" t="s">
        <v>127</v>
      </c>
    </row>
    <row r="6" spans="1:7" x14ac:dyDescent="0.2">
      <c r="A6" t="s">
        <v>133</v>
      </c>
      <c r="B6" t="s">
        <v>134</v>
      </c>
      <c r="C6" t="s">
        <v>135</v>
      </c>
      <c r="D6" t="s">
        <v>136</v>
      </c>
      <c r="E6" t="s">
        <v>120</v>
      </c>
      <c r="F6">
        <v>8</v>
      </c>
      <c r="G6" t="s">
        <v>127</v>
      </c>
    </row>
    <row r="7" spans="1:7" x14ac:dyDescent="0.2">
      <c r="A7" t="s">
        <v>137</v>
      </c>
      <c r="B7" t="s">
        <v>138</v>
      </c>
      <c r="C7" t="s">
        <v>124</v>
      </c>
      <c r="D7" t="s">
        <v>139</v>
      </c>
      <c r="E7" t="s">
        <v>126</v>
      </c>
      <c r="F7">
        <v>18</v>
      </c>
      <c r="G7" t="s">
        <v>127</v>
      </c>
    </row>
    <row r="8" spans="1:7" x14ac:dyDescent="0.2">
      <c r="A8" t="s">
        <v>140</v>
      </c>
      <c r="B8" t="s">
        <v>141</v>
      </c>
      <c r="C8" t="s">
        <v>135</v>
      </c>
      <c r="D8" t="s">
        <v>125</v>
      </c>
      <c r="E8" t="s">
        <v>126</v>
      </c>
      <c r="F8">
        <v>12</v>
      </c>
      <c r="G8" t="s">
        <v>142</v>
      </c>
    </row>
    <row r="9" spans="1:7" x14ac:dyDescent="0.2">
      <c r="A9" t="s">
        <v>143</v>
      </c>
      <c r="B9" t="s">
        <v>144</v>
      </c>
      <c r="C9" t="s">
        <v>118</v>
      </c>
      <c r="D9" t="s">
        <v>145</v>
      </c>
      <c r="E9" t="s">
        <v>146</v>
      </c>
      <c r="F9">
        <v>11</v>
      </c>
      <c r="G9" t="s">
        <v>121</v>
      </c>
    </row>
    <row r="10" spans="1:7" x14ac:dyDescent="0.2">
      <c r="A10" t="s">
        <v>147</v>
      </c>
      <c r="B10" t="s">
        <v>148</v>
      </c>
      <c r="C10" t="s">
        <v>135</v>
      </c>
      <c r="D10" t="s">
        <v>149</v>
      </c>
      <c r="E10" t="s">
        <v>126</v>
      </c>
      <c r="F10">
        <v>14</v>
      </c>
      <c r="G10" t="s">
        <v>121</v>
      </c>
    </row>
    <row r="11" spans="1:7" x14ac:dyDescent="0.2">
      <c r="A11" t="s">
        <v>150</v>
      </c>
      <c r="B11" t="s">
        <v>151</v>
      </c>
      <c r="C11" t="s">
        <v>132</v>
      </c>
      <c r="D11" t="s">
        <v>119</v>
      </c>
      <c r="E11" t="s">
        <v>146</v>
      </c>
      <c r="F11">
        <v>12</v>
      </c>
      <c r="G11" t="s">
        <v>142</v>
      </c>
    </row>
    <row r="12" spans="1:7" x14ac:dyDescent="0.2">
      <c r="A12" t="s">
        <v>152</v>
      </c>
      <c r="B12" t="s">
        <v>153</v>
      </c>
      <c r="C12" t="s">
        <v>118</v>
      </c>
      <c r="D12" t="s">
        <v>154</v>
      </c>
      <c r="E12" t="s">
        <v>126</v>
      </c>
      <c r="F12">
        <v>5</v>
      </c>
      <c r="G12" t="s">
        <v>121</v>
      </c>
    </row>
    <row r="13" spans="1:7" x14ac:dyDescent="0.2">
      <c r="A13" t="s">
        <v>155</v>
      </c>
      <c r="B13" t="s">
        <v>156</v>
      </c>
      <c r="C13" t="s">
        <v>118</v>
      </c>
      <c r="D13" t="s">
        <v>157</v>
      </c>
      <c r="E13" t="s">
        <v>120</v>
      </c>
      <c r="F13">
        <v>13</v>
      </c>
      <c r="G13" t="s">
        <v>142</v>
      </c>
    </row>
    <row r="14" spans="1:7" x14ac:dyDescent="0.2">
      <c r="A14" t="s">
        <v>158</v>
      </c>
      <c r="B14" t="s">
        <v>159</v>
      </c>
      <c r="C14" t="s">
        <v>124</v>
      </c>
      <c r="D14" t="s">
        <v>160</v>
      </c>
      <c r="E14" t="s">
        <v>146</v>
      </c>
      <c r="F14">
        <v>15</v>
      </c>
      <c r="G14" t="s">
        <v>127</v>
      </c>
    </row>
    <row r="15" spans="1:7" x14ac:dyDescent="0.2">
      <c r="A15" t="s">
        <v>161</v>
      </c>
      <c r="B15" t="s">
        <v>162</v>
      </c>
      <c r="C15" t="s">
        <v>132</v>
      </c>
      <c r="D15" t="s">
        <v>163</v>
      </c>
      <c r="E15" t="s">
        <v>146</v>
      </c>
      <c r="F15">
        <v>3</v>
      </c>
      <c r="G15" t="s">
        <v>142</v>
      </c>
    </row>
    <row r="16" spans="1:7" x14ac:dyDescent="0.2">
      <c r="A16" t="s">
        <v>164</v>
      </c>
      <c r="B16" t="s">
        <v>165</v>
      </c>
      <c r="C16" t="s">
        <v>118</v>
      </c>
      <c r="D16" t="s">
        <v>166</v>
      </c>
      <c r="E16" t="s">
        <v>126</v>
      </c>
      <c r="F16">
        <v>7</v>
      </c>
      <c r="G16" t="s">
        <v>142</v>
      </c>
    </row>
    <row r="17" spans="1:7" x14ac:dyDescent="0.2">
      <c r="A17" t="s">
        <v>167</v>
      </c>
      <c r="B17" t="s">
        <v>168</v>
      </c>
      <c r="C17" t="s">
        <v>124</v>
      </c>
      <c r="D17" t="s">
        <v>157</v>
      </c>
      <c r="E17" t="s">
        <v>146</v>
      </c>
      <c r="F17">
        <v>3</v>
      </c>
      <c r="G17" t="s">
        <v>142</v>
      </c>
    </row>
    <row r="18" spans="1:7" x14ac:dyDescent="0.2">
      <c r="A18" t="s">
        <v>169</v>
      </c>
      <c r="B18" t="s">
        <v>170</v>
      </c>
      <c r="C18" t="s">
        <v>135</v>
      </c>
      <c r="D18" t="s">
        <v>119</v>
      </c>
      <c r="E18" t="s">
        <v>126</v>
      </c>
      <c r="F18">
        <v>19</v>
      </c>
      <c r="G18" t="s">
        <v>142</v>
      </c>
    </row>
    <row r="19" spans="1:7" x14ac:dyDescent="0.2">
      <c r="A19" t="s">
        <v>171</v>
      </c>
      <c r="B19" t="s">
        <v>172</v>
      </c>
      <c r="C19" t="s">
        <v>173</v>
      </c>
      <c r="D19" t="s">
        <v>174</v>
      </c>
      <c r="E19" t="s">
        <v>126</v>
      </c>
      <c r="F19">
        <v>7</v>
      </c>
      <c r="G19" t="s">
        <v>121</v>
      </c>
    </row>
    <row r="20" spans="1:7" x14ac:dyDescent="0.2">
      <c r="A20" t="s">
        <v>175</v>
      </c>
      <c r="B20" t="s">
        <v>151</v>
      </c>
      <c r="C20" t="s">
        <v>173</v>
      </c>
      <c r="D20" t="s">
        <v>136</v>
      </c>
      <c r="E20" t="s">
        <v>146</v>
      </c>
      <c r="F20">
        <v>12</v>
      </c>
      <c r="G20" t="s">
        <v>127</v>
      </c>
    </row>
    <row r="21" spans="1:7" x14ac:dyDescent="0.2">
      <c r="A21" t="s">
        <v>176</v>
      </c>
      <c r="B21" t="s">
        <v>177</v>
      </c>
      <c r="C21" t="s">
        <v>135</v>
      </c>
      <c r="D21" t="s">
        <v>178</v>
      </c>
      <c r="E21" t="s">
        <v>126</v>
      </c>
      <c r="F21">
        <v>3</v>
      </c>
      <c r="G21" t="s">
        <v>121</v>
      </c>
    </row>
    <row r="22" spans="1:7" x14ac:dyDescent="0.2">
      <c r="A22" t="s">
        <v>179</v>
      </c>
      <c r="B22" t="s">
        <v>180</v>
      </c>
      <c r="C22" t="s">
        <v>118</v>
      </c>
      <c r="D22" t="s">
        <v>149</v>
      </c>
      <c r="E22" t="s">
        <v>126</v>
      </c>
      <c r="F22">
        <v>4</v>
      </c>
      <c r="G22" t="s">
        <v>121</v>
      </c>
    </row>
    <row r="23" spans="1:7" x14ac:dyDescent="0.2">
      <c r="A23" t="s">
        <v>181</v>
      </c>
      <c r="B23" t="s">
        <v>177</v>
      </c>
      <c r="C23" t="s">
        <v>132</v>
      </c>
      <c r="D23" t="s">
        <v>182</v>
      </c>
      <c r="E23" t="s">
        <v>126</v>
      </c>
      <c r="F23">
        <v>12</v>
      </c>
      <c r="G23" t="s">
        <v>127</v>
      </c>
    </row>
    <row r="24" spans="1:7" x14ac:dyDescent="0.2">
      <c r="A24" t="s">
        <v>183</v>
      </c>
      <c r="B24" t="s">
        <v>184</v>
      </c>
      <c r="C24" t="s">
        <v>135</v>
      </c>
      <c r="D24" t="s">
        <v>185</v>
      </c>
      <c r="E24" t="s">
        <v>120</v>
      </c>
      <c r="F24">
        <v>9</v>
      </c>
      <c r="G24" t="s">
        <v>121</v>
      </c>
    </row>
    <row r="25" spans="1:7" x14ac:dyDescent="0.2">
      <c r="A25" t="s">
        <v>186</v>
      </c>
      <c r="B25" t="s">
        <v>187</v>
      </c>
      <c r="C25" t="s">
        <v>124</v>
      </c>
      <c r="D25" t="s">
        <v>188</v>
      </c>
      <c r="E25" t="s">
        <v>120</v>
      </c>
      <c r="F25">
        <v>4</v>
      </c>
      <c r="G25" t="s">
        <v>142</v>
      </c>
    </row>
    <row r="26" spans="1:7" x14ac:dyDescent="0.2">
      <c r="A26" t="s">
        <v>189</v>
      </c>
      <c r="B26" t="s">
        <v>190</v>
      </c>
      <c r="C26" t="s">
        <v>135</v>
      </c>
      <c r="D26" t="s">
        <v>157</v>
      </c>
      <c r="E26" t="s">
        <v>120</v>
      </c>
      <c r="F26">
        <v>5</v>
      </c>
      <c r="G26" t="s">
        <v>121</v>
      </c>
    </row>
    <row r="27" spans="1:7" x14ac:dyDescent="0.2">
      <c r="A27" t="s">
        <v>191</v>
      </c>
      <c r="B27" t="s">
        <v>192</v>
      </c>
      <c r="C27" t="s">
        <v>118</v>
      </c>
      <c r="D27" t="s">
        <v>166</v>
      </c>
      <c r="E27" t="s">
        <v>146</v>
      </c>
      <c r="F27">
        <v>17</v>
      </c>
      <c r="G27" t="s">
        <v>142</v>
      </c>
    </row>
    <row r="28" spans="1:7" x14ac:dyDescent="0.2">
      <c r="A28" t="s">
        <v>193</v>
      </c>
      <c r="B28" t="s">
        <v>194</v>
      </c>
      <c r="C28" t="s">
        <v>173</v>
      </c>
      <c r="D28" t="s">
        <v>125</v>
      </c>
      <c r="E28" t="s">
        <v>120</v>
      </c>
      <c r="F28">
        <v>10</v>
      </c>
      <c r="G28" t="s">
        <v>121</v>
      </c>
    </row>
    <row r="29" spans="1:7" x14ac:dyDescent="0.2">
      <c r="A29" t="s">
        <v>195</v>
      </c>
      <c r="B29" t="s">
        <v>196</v>
      </c>
      <c r="C29" t="s">
        <v>118</v>
      </c>
      <c r="D29" t="s">
        <v>174</v>
      </c>
      <c r="E29" t="s">
        <v>146</v>
      </c>
      <c r="F29">
        <v>1</v>
      </c>
      <c r="G29" t="s">
        <v>121</v>
      </c>
    </row>
    <row r="30" spans="1:7" x14ac:dyDescent="0.2">
      <c r="A30" t="s">
        <v>197</v>
      </c>
      <c r="B30" t="s">
        <v>138</v>
      </c>
      <c r="C30" t="s">
        <v>173</v>
      </c>
      <c r="D30" t="s">
        <v>198</v>
      </c>
      <c r="E30" t="s">
        <v>120</v>
      </c>
      <c r="F30">
        <v>19</v>
      </c>
      <c r="G30" t="s">
        <v>121</v>
      </c>
    </row>
    <row r="31" spans="1:7" x14ac:dyDescent="0.2">
      <c r="A31" t="s">
        <v>199</v>
      </c>
      <c r="B31" t="s">
        <v>156</v>
      </c>
      <c r="C31" t="s">
        <v>132</v>
      </c>
      <c r="D31" t="s">
        <v>136</v>
      </c>
      <c r="E31" t="s">
        <v>126</v>
      </c>
      <c r="F31">
        <v>10</v>
      </c>
      <c r="G31" t="s">
        <v>121</v>
      </c>
    </row>
    <row r="32" spans="1:7" x14ac:dyDescent="0.2">
      <c r="A32" t="s">
        <v>200</v>
      </c>
      <c r="B32" t="s">
        <v>162</v>
      </c>
      <c r="C32" t="s">
        <v>118</v>
      </c>
      <c r="D32" t="s">
        <v>188</v>
      </c>
      <c r="E32" t="s">
        <v>126</v>
      </c>
      <c r="F32">
        <v>14</v>
      </c>
      <c r="G32" t="s">
        <v>127</v>
      </c>
    </row>
    <row r="33" spans="1:7" x14ac:dyDescent="0.2">
      <c r="A33" t="s">
        <v>201</v>
      </c>
      <c r="B33" t="s">
        <v>202</v>
      </c>
      <c r="C33" t="s">
        <v>135</v>
      </c>
      <c r="D33" t="s">
        <v>145</v>
      </c>
      <c r="E33" t="s">
        <v>126</v>
      </c>
      <c r="F33">
        <v>8</v>
      </c>
      <c r="G33" t="s">
        <v>127</v>
      </c>
    </row>
    <row r="34" spans="1:7" x14ac:dyDescent="0.2">
      <c r="A34" t="s">
        <v>203</v>
      </c>
      <c r="B34" t="s">
        <v>204</v>
      </c>
      <c r="C34" t="s">
        <v>132</v>
      </c>
      <c r="D34" t="s">
        <v>154</v>
      </c>
      <c r="E34" t="s">
        <v>146</v>
      </c>
      <c r="F34">
        <v>9</v>
      </c>
      <c r="G34" t="s">
        <v>121</v>
      </c>
    </row>
    <row r="35" spans="1:7" x14ac:dyDescent="0.2">
      <c r="A35" t="s">
        <v>205</v>
      </c>
      <c r="B35" t="s">
        <v>206</v>
      </c>
      <c r="C35" t="s">
        <v>118</v>
      </c>
      <c r="D35" t="s">
        <v>154</v>
      </c>
      <c r="E35" t="s">
        <v>126</v>
      </c>
      <c r="F35">
        <v>11</v>
      </c>
      <c r="G35" t="s">
        <v>127</v>
      </c>
    </row>
    <row r="36" spans="1:7" x14ac:dyDescent="0.2">
      <c r="A36" t="s">
        <v>207</v>
      </c>
      <c r="B36" t="s">
        <v>153</v>
      </c>
      <c r="C36" t="s">
        <v>118</v>
      </c>
      <c r="D36" t="s">
        <v>149</v>
      </c>
      <c r="E36" t="s">
        <v>146</v>
      </c>
      <c r="F36">
        <v>14</v>
      </c>
      <c r="G36" t="s">
        <v>121</v>
      </c>
    </row>
    <row r="37" spans="1:7" x14ac:dyDescent="0.2">
      <c r="A37" t="s">
        <v>208</v>
      </c>
      <c r="B37" t="s">
        <v>148</v>
      </c>
      <c r="C37" t="s">
        <v>118</v>
      </c>
      <c r="D37" t="s">
        <v>209</v>
      </c>
      <c r="E37" t="s">
        <v>126</v>
      </c>
      <c r="F37">
        <v>12</v>
      </c>
      <c r="G37" t="s">
        <v>142</v>
      </c>
    </row>
    <row r="38" spans="1:7" x14ac:dyDescent="0.2">
      <c r="A38" t="s">
        <v>210</v>
      </c>
      <c r="B38" t="s">
        <v>211</v>
      </c>
      <c r="C38" t="s">
        <v>132</v>
      </c>
      <c r="D38" t="s">
        <v>166</v>
      </c>
      <c r="E38" t="s">
        <v>146</v>
      </c>
      <c r="F38">
        <v>12</v>
      </c>
      <c r="G38" t="s">
        <v>142</v>
      </c>
    </row>
    <row r="39" spans="1:7" x14ac:dyDescent="0.2">
      <c r="A39" t="s">
        <v>212</v>
      </c>
      <c r="B39" t="s">
        <v>204</v>
      </c>
      <c r="C39" t="s">
        <v>118</v>
      </c>
      <c r="D39" t="s">
        <v>213</v>
      </c>
      <c r="E39" t="s">
        <v>120</v>
      </c>
      <c r="F39">
        <v>16</v>
      </c>
      <c r="G39" t="s">
        <v>127</v>
      </c>
    </row>
    <row r="40" spans="1:7" x14ac:dyDescent="0.2">
      <c r="A40" t="s">
        <v>214</v>
      </c>
      <c r="B40" t="s">
        <v>215</v>
      </c>
      <c r="C40" t="s">
        <v>135</v>
      </c>
      <c r="D40" t="s">
        <v>149</v>
      </c>
      <c r="E40" t="s">
        <v>126</v>
      </c>
      <c r="F40">
        <v>7</v>
      </c>
      <c r="G40" t="s">
        <v>127</v>
      </c>
    </row>
    <row r="41" spans="1:7" x14ac:dyDescent="0.2">
      <c r="A41" t="s">
        <v>216</v>
      </c>
      <c r="B41" t="s">
        <v>217</v>
      </c>
      <c r="C41" t="s">
        <v>124</v>
      </c>
      <c r="D41" t="s">
        <v>188</v>
      </c>
      <c r="E41" t="s">
        <v>126</v>
      </c>
      <c r="F41">
        <v>15</v>
      </c>
      <c r="G41" t="s">
        <v>127</v>
      </c>
    </row>
  </sheetData>
  <autoFilter ref="A1:G41" xr:uid="{00000000-0009-0000-0000-000004000000}"/>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601"/>
  <sheetViews>
    <sheetView zoomScaleNormal="100" workbookViewId="0">
      <pane ySplit="1" topLeftCell="A19" activePane="bottomLeft" state="frozen"/>
      <selection pane="bottomLeft" activeCell="F28" sqref="F28"/>
    </sheetView>
  </sheetViews>
  <sheetFormatPr defaultColWidth="8.7109375" defaultRowHeight="12.75" x14ac:dyDescent="0.2"/>
  <cols>
    <col min="1" max="1" width="8.7109375" bestFit="1" customWidth="1"/>
    <col min="2" max="2" width="13.28515625" bestFit="1" customWidth="1"/>
    <col min="3" max="3" width="10.5703125" bestFit="1" customWidth="1"/>
    <col min="4" max="4" width="16.85546875" bestFit="1" customWidth="1"/>
    <col min="5" max="5" width="11.85546875" bestFit="1" customWidth="1"/>
    <col min="6" max="6" width="14.140625" bestFit="1" customWidth="1"/>
    <col min="7" max="7" width="14.42578125" bestFit="1" customWidth="1"/>
    <col min="8" max="8" width="15.85546875" bestFit="1" customWidth="1"/>
    <col min="9" max="9" width="26.28515625" bestFit="1" customWidth="1"/>
    <col min="10" max="10" width="28.5703125" bestFit="1" customWidth="1"/>
  </cols>
  <sheetData>
    <row r="1" spans="1:10" x14ac:dyDescent="0.2">
      <c r="A1" s="6" t="s">
        <v>218</v>
      </c>
      <c r="B1" s="6" t="s">
        <v>109</v>
      </c>
      <c r="C1" s="6" t="s">
        <v>219</v>
      </c>
      <c r="D1" s="6" t="s">
        <v>220</v>
      </c>
      <c r="E1" s="6" t="s">
        <v>221</v>
      </c>
      <c r="F1" s="6" t="s">
        <v>222</v>
      </c>
      <c r="G1" s="6" t="s">
        <v>223</v>
      </c>
      <c r="H1" s="6" t="s">
        <v>224</v>
      </c>
      <c r="I1" s="6" t="s">
        <v>225</v>
      </c>
      <c r="J1" s="6" t="s">
        <v>226</v>
      </c>
    </row>
    <row r="2" spans="1:10" ht="15" customHeight="1" x14ac:dyDescent="0.25">
      <c r="A2" t="s">
        <v>227</v>
      </c>
      <c r="B2" t="s">
        <v>116</v>
      </c>
      <c r="C2" s="9">
        <v>46071</v>
      </c>
      <c r="D2" s="9">
        <v>46083</v>
      </c>
      <c r="E2">
        <v>2</v>
      </c>
      <c r="F2">
        <v>1272</v>
      </c>
      <c r="G2">
        <v>32</v>
      </c>
      <c r="H2" s="10">
        <v>241.77</v>
      </c>
      <c r="I2">
        <v>3.5000000000000003E-2</v>
      </c>
      <c r="J2">
        <v>1</v>
      </c>
    </row>
    <row r="3" spans="1:10" ht="15" customHeight="1" x14ac:dyDescent="0.25">
      <c r="A3" t="s">
        <v>228</v>
      </c>
      <c r="B3" t="s">
        <v>164</v>
      </c>
      <c r="C3" s="9">
        <v>46083</v>
      </c>
      <c r="D3" s="9">
        <v>46089</v>
      </c>
      <c r="E3">
        <v>0</v>
      </c>
      <c r="F3">
        <v>3816</v>
      </c>
      <c r="G3">
        <v>137</v>
      </c>
      <c r="H3" s="10">
        <v>213.03</v>
      </c>
      <c r="I3">
        <v>4.9000000000000002E-2</v>
      </c>
      <c r="J3">
        <v>5</v>
      </c>
    </row>
    <row r="4" spans="1:10" ht="15" customHeight="1" x14ac:dyDescent="0.25">
      <c r="A4" t="s">
        <v>229</v>
      </c>
      <c r="B4" t="s">
        <v>205</v>
      </c>
      <c r="C4" s="9">
        <v>46058</v>
      </c>
      <c r="D4" s="9">
        <v>46071</v>
      </c>
      <c r="E4">
        <v>1</v>
      </c>
      <c r="F4">
        <v>3578</v>
      </c>
      <c r="G4">
        <v>85</v>
      </c>
      <c r="H4" s="10">
        <v>735.9</v>
      </c>
      <c r="I4">
        <v>2.9000000000000001E-2</v>
      </c>
      <c r="J4">
        <v>4</v>
      </c>
    </row>
    <row r="5" spans="1:10" ht="15" customHeight="1" x14ac:dyDescent="0.25">
      <c r="A5" t="s">
        <v>230</v>
      </c>
      <c r="B5" t="s">
        <v>191</v>
      </c>
      <c r="C5" s="9">
        <v>45853</v>
      </c>
      <c r="D5" s="9">
        <v>45867</v>
      </c>
      <c r="E5">
        <v>0</v>
      </c>
      <c r="F5">
        <v>3228</v>
      </c>
      <c r="G5">
        <v>334</v>
      </c>
      <c r="H5" s="10">
        <v>96.34</v>
      </c>
      <c r="I5">
        <v>6.0999999999999999E-2</v>
      </c>
      <c r="J5">
        <v>4</v>
      </c>
    </row>
    <row r="6" spans="1:10" ht="15" customHeight="1" x14ac:dyDescent="0.25">
      <c r="A6" t="s">
        <v>231</v>
      </c>
      <c r="B6" t="s">
        <v>152</v>
      </c>
      <c r="C6" s="9">
        <v>45937</v>
      </c>
      <c r="D6" s="9">
        <v>45944</v>
      </c>
      <c r="E6">
        <v>0</v>
      </c>
      <c r="F6">
        <v>1177</v>
      </c>
      <c r="G6">
        <v>71</v>
      </c>
      <c r="H6" s="10">
        <v>533.29</v>
      </c>
      <c r="I6">
        <v>1.2999999999999999E-2</v>
      </c>
      <c r="J6">
        <v>5</v>
      </c>
    </row>
    <row r="7" spans="1:10" ht="15" customHeight="1" x14ac:dyDescent="0.25">
      <c r="A7" t="s">
        <v>232</v>
      </c>
      <c r="B7" t="s">
        <v>214</v>
      </c>
      <c r="C7" s="9">
        <v>45992</v>
      </c>
      <c r="D7" s="9">
        <v>45999</v>
      </c>
      <c r="E7">
        <v>5</v>
      </c>
      <c r="F7">
        <v>497</v>
      </c>
      <c r="G7">
        <v>22</v>
      </c>
      <c r="H7" s="10">
        <v>644.73</v>
      </c>
      <c r="I7">
        <v>1.9E-2</v>
      </c>
      <c r="J7">
        <v>3</v>
      </c>
    </row>
    <row r="8" spans="1:10" ht="15" customHeight="1" x14ac:dyDescent="0.25">
      <c r="A8" t="s">
        <v>233</v>
      </c>
      <c r="B8" t="s">
        <v>150</v>
      </c>
      <c r="C8" s="9">
        <v>46028</v>
      </c>
      <c r="D8" s="9">
        <v>46044</v>
      </c>
      <c r="E8">
        <v>0</v>
      </c>
      <c r="F8">
        <v>1708</v>
      </c>
      <c r="G8">
        <v>77</v>
      </c>
      <c r="H8" s="10">
        <v>226.92</v>
      </c>
      <c r="I8">
        <v>-3.5999999999999997E-2</v>
      </c>
      <c r="J8">
        <v>3</v>
      </c>
    </row>
    <row r="9" spans="1:10" ht="15" customHeight="1" x14ac:dyDescent="0.25">
      <c r="A9" t="s">
        <v>234</v>
      </c>
      <c r="B9" t="s">
        <v>189</v>
      </c>
      <c r="C9" s="9">
        <v>45849</v>
      </c>
      <c r="D9" s="9">
        <v>45869</v>
      </c>
      <c r="E9">
        <v>0</v>
      </c>
      <c r="F9">
        <v>468</v>
      </c>
      <c r="G9">
        <v>20</v>
      </c>
      <c r="H9" s="10">
        <v>537.11</v>
      </c>
      <c r="I9">
        <v>-2.7E-2</v>
      </c>
      <c r="J9">
        <v>1</v>
      </c>
    </row>
    <row r="10" spans="1:10" ht="15" customHeight="1" x14ac:dyDescent="0.25">
      <c r="A10" t="s">
        <v>235</v>
      </c>
      <c r="B10" t="s">
        <v>140</v>
      </c>
      <c r="C10" s="9">
        <v>46045</v>
      </c>
      <c r="D10" s="9">
        <v>46063</v>
      </c>
      <c r="E10">
        <v>0</v>
      </c>
      <c r="F10">
        <v>205</v>
      </c>
      <c r="G10">
        <v>2</v>
      </c>
      <c r="H10" s="10">
        <v>686.3</v>
      </c>
      <c r="I10">
        <v>-1.2E-2</v>
      </c>
      <c r="J10">
        <v>1</v>
      </c>
    </row>
    <row r="11" spans="1:10" ht="15" customHeight="1" x14ac:dyDescent="0.25">
      <c r="A11" t="s">
        <v>236</v>
      </c>
      <c r="B11" t="s">
        <v>176</v>
      </c>
      <c r="C11" s="9">
        <v>45873</v>
      </c>
      <c r="D11" s="9">
        <v>45888</v>
      </c>
      <c r="E11">
        <v>0</v>
      </c>
      <c r="F11">
        <v>1288</v>
      </c>
      <c r="G11">
        <v>30</v>
      </c>
      <c r="H11" s="10">
        <v>100.9</v>
      </c>
      <c r="I11">
        <v>3.7999999999999999E-2</v>
      </c>
      <c r="J11">
        <v>1</v>
      </c>
    </row>
    <row r="12" spans="1:10" ht="15" customHeight="1" x14ac:dyDescent="0.25">
      <c r="A12" t="s">
        <v>237</v>
      </c>
      <c r="B12" t="s">
        <v>152</v>
      </c>
      <c r="C12" s="9">
        <v>45980</v>
      </c>
      <c r="D12" s="9">
        <v>45985</v>
      </c>
      <c r="E12">
        <v>0</v>
      </c>
      <c r="F12">
        <v>3874</v>
      </c>
      <c r="G12">
        <v>231</v>
      </c>
      <c r="H12" s="10">
        <v>817.39</v>
      </c>
      <c r="I12">
        <v>8.9999999999999993E-3</v>
      </c>
      <c r="J12">
        <v>2</v>
      </c>
    </row>
    <row r="13" spans="1:10" ht="15" customHeight="1" x14ac:dyDescent="0.25">
      <c r="A13" t="s">
        <v>238</v>
      </c>
      <c r="B13" t="s">
        <v>161</v>
      </c>
      <c r="C13" s="9">
        <v>46044</v>
      </c>
      <c r="D13" s="9">
        <v>46055</v>
      </c>
      <c r="E13">
        <v>0</v>
      </c>
      <c r="F13">
        <v>1273</v>
      </c>
      <c r="G13">
        <v>135</v>
      </c>
      <c r="H13" s="10">
        <v>754.3</v>
      </c>
      <c r="I13">
        <v>-1.7999999999999999E-2</v>
      </c>
      <c r="J13">
        <v>3</v>
      </c>
    </row>
    <row r="14" spans="1:10" ht="15" customHeight="1" x14ac:dyDescent="0.25">
      <c r="A14" t="s">
        <v>239</v>
      </c>
      <c r="B14" t="s">
        <v>201</v>
      </c>
      <c r="C14" s="9">
        <v>46080</v>
      </c>
      <c r="D14" s="9">
        <v>46087</v>
      </c>
      <c r="E14">
        <v>0</v>
      </c>
      <c r="F14">
        <v>841</v>
      </c>
      <c r="G14">
        <v>87</v>
      </c>
      <c r="H14" s="10">
        <v>556.5</v>
      </c>
      <c r="I14">
        <v>4.5999999999999999E-2</v>
      </c>
      <c r="J14">
        <v>1</v>
      </c>
    </row>
    <row r="15" spans="1:10" ht="15" customHeight="1" x14ac:dyDescent="0.25">
      <c r="A15" t="s">
        <v>240</v>
      </c>
      <c r="B15" t="s">
        <v>122</v>
      </c>
      <c r="C15" s="9">
        <v>45874</v>
      </c>
      <c r="D15" s="9">
        <v>45884</v>
      </c>
      <c r="E15">
        <v>0</v>
      </c>
      <c r="F15">
        <v>2342</v>
      </c>
      <c r="G15">
        <v>137</v>
      </c>
      <c r="H15" s="10">
        <v>305.27999999999997</v>
      </c>
      <c r="I15">
        <v>-2.3E-2</v>
      </c>
      <c r="J15">
        <v>4</v>
      </c>
    </row>
    <row r="16" spans="1:10" ht="15" customHeight="1" x14ac:dyDescent="0.25">
      <c r="A16" t="s">
        <v>241</v>
      </c>
      <c r="B16" t="s">
        <v>186</v>
      </c>
      <c r="C16" s="9">
        <v>45956</v>
      </c>
      <c r="D16" s="9">
        <v>45968</v>
      </c>
      <c r="E16">
        <v>0</v>
      </c>
      <c r="F16">
        <v>487</v>
      </c>
      <c r="G16">
        <v>43</v>
      </c>
      <c r="H16" s="10">
        <v>814.87</v>
      </c>
      <c r="I16">
        <v>-1.4E-2</v>
      </c>
      <c r="J16">
        <v>2</v>
      </c>
    </row>
    <row r="17" spans="1:10" ht="15" customHeight="1" x14ac:dyDescent="0.25">
      <c r="A17" t="s">
        <v>242</v>
      </c>
      <c r="B17" t="s">
        <v>147</v>
      </c>
      <c r="C17" s="9">
        <v>45794</v>
      </c>
      <c r="D17" s="9">
        <v>45800</v>
      </c>
      <c r="E17">
        <v>0</v>
      </c>
      <c r="F17">
        <v>3641</v>
      </c>
      <c r="G17">
        <v>331</v>
      </c>
      <c r="H17" s="10">
        <v>288.38</v>
      </c>
      <c r="I17">
        <v>5.3999999999999999E-2</v>
      </c>
      <c r="J17">
        <v>2</v>
      </c>
    </row>
    <row r="18" spans="1:10" ht="15" customHeight="1" x14ac:dyDescent="0.25">
      <c r="A18" t="s">
        <v>243</v>
      </c>
      <c r="B18" t="s">
        <v>161</v>
      </c>
      <c r="C18" s="9">
        <v>45927</v>
      </c>
      <c r="D18" s="9">
        <v>45937</v>
      </c>
      <c r="E18">
        <v>0</v>
      </c>
      <c r="F18">
        <v>608</v>
      </c>
      <c r="G18">
        <v>68</v>
      </c>
      <c r="H18" s="10">
        <v>526.84</v>
      </c>
      <c r="I18">
        <v>2.3E-2</v>
      </c>
      <c r="J18">
        <v>2</v>
      </c>
    </row>
    <row r="19" spans="1:10" ht="15" customHeight="1" x14ac:dyDescent="0.25">
      <c r="A19" t="s">
        <v>244</v>
      </c>
      <c r="B19" t="s">
        <v>137</v>
      </c>
      <c r="C19" s="9">
        <v>45837</v>
      </c>
      <c r="D19" s="9">
        <v>45845</v>
      </c>
      <c r="E19">
        <v>0</v>
      </c>
      <c r="F19">
        <v>3062</v>
      </c>
      <c r="G19">
        <v>153</v>
      </c>
      <c r="H19" s="10">
        <v>324.05</v>
      </c>
      <c r="I19">
        <v>6.6000000000000003E-2</v>
      </c>
      <c r="J19">
        <v>1</v>
      </c>
    </row>
    <row r="20" spans="1:10" ht="15" customHeight="1" x14ac:dyDescent="0.25">
      <c r="A20" t="s">
        <v>245</v>
      </c>
      <c r="B20" t="s">
        <v>179</v>
      </c>
      <c r="C20" s="9">
        <v>45811</v>
      </c>
      <c r="D20" s="9">
        <v>45820</v>
      </c>
      <c r="E20">
        <v>0</v>
      </c>
      <c r="F20">
        <v>2565</v>
      </c>
      <c r="G20">
        <v>223</v>
      </c>
      <c r="H20" s="10">
        <v>657.47</v>
      </c>
      <c r="I20">
        <v>2.7E-2</v>
      </c>
      <c r="J20">
        <v>3</v>
      </c>
    </row>
    <row r="21" spans="1:10" ht="15" customHeight="1" x14ac:dyDescent="0.25">
      <c r="A21" t="s">
        <v>246</v>
      </c>
      <c r="B21" t="s">
        <v>167</v>
      </c>
      <c r="C21" s="9">
        <v>45888</v>
      </c>
      <c r="D21" s="9">
        <v>45900</v>
      </c>
      <c r="E21">
        <v>0</v>
      </c>
      <c r="F21">
        <v>3878</v>
      </c>
      <c r="G21">
        <v>128</v>
      </c>
      <c r="H21" s="10">
        <v>251.95</v>
      </c>
      <c r="I21">
        <v>-4.5999999999999999E-2</v>
      </c>
      <c r="J21">
        <v>3</v>
      </c>
    </row>
    <row r="22" spans="1:10" ht="15" customHeight="1" x14ac:dyDescent="0.25">
      <c r="A22" t="s">
        <v>247</v>
      </c>
      <c r="B22" t="s">
        <v>140</v>
      </c>
      <c r="C22" s="9">
        <v>46054</v>
      </c>
      <c r="D22" s="9">
        <v>46073</v>
      </c>
      <c r="E22">
        <v>0</v>
      </c>
      <c r="F22">
        <v>810</v>
      </c>
      <c r="G22">
        <v>0</v>
      </c>
      <c r="H22" s="10">
        <v>612.05999999999995</v>
      </c>
      <c r="I22">
        <v>-0.04</v>
      </c>
      <c r="J22">
        <v>3</v>
      </c>
    </row>
    <row r="23" spans="1:10" ht="15" customHeight="1" x14ac:dyDescent="0.25">
      <c r="A23" t="s">
        <v>248</v>
      </c>
      <c r="B23" t="s">
        <v>183</v>
      </c>
      <c r="C23" s="9">
        <v>46084</v>
      </c>
      <c r="D23" s="9">
        <v>46094</v>
      </c>
      <c r="E23">
        <v>0</v>
      </c>
      <c r="F23">
        <v>307</v>
      </c>
      <c r="G23">
        <v>12</v>
      </c>
      <c r="H23" s="10">
        <v>792.75</v>
      </c>
      <c r="I23">
        <v>-2.4E-2</v>
      </c>
      <c r="J23">
        <v>1</v>
      </c>
    </row>
    <row r="24" spans="1:10" ht="15" customHeight="1" x14ac:dyDescent="0.25">
      <c r="A24" t="s">
        <v>249</v>
      </c>
      <c r="B24" t="s">
        <v>200</v>
      </c>
      <c r="C24" s="9">
        <v>45974</v>
      </c>
      <c r="D24" s="9">
        <v>45979</v>
      </c>
      <c r="E24">
        <v>0</v>
      </c>
      <c r="F24">
        <v>1170</v>
      </c>
      <c r="G24">
        <v>108</v>
      </c>
      <c r="H24" s="10">
        <v>364.67</v>
      </c>
      <c r="I24">
        <v>7.9000000000000001E-2</v>
      </c>
      <c r="J24">
        <v>4</v>
      </c>
    </row>
    <row r="25" spans="1:10" ht="15" customHeight="1" x14ac:dyDescent="0.25">
      <c r="A25" t="s">
        <v>250</v>
      </c>
      <c r="B25" t="s">
        <v>214</v>
      </c>
      <c r="C25" s="9">
        <v>45922</v>
      </c>
      <c r="D25" s="9">
        <v>45942</v>
      </c>
      <c r="E25">
        <v>0</v>
      </c>
      <c r="F25">
        <v>3656</v>
      </c>
      <c r="G25">
        <v>157</v>
      </c>
      <c r="H25" s="10">
        <v>277</v>
      </c>
      <c r="I25">
        <v>6.4000000000000001E-2</v>
      </c>
      <c r="J25">
        <v>1</v>
      </c>
    </row>
    <row r="26" spans="1:10" ht="15" customHeight="1" x14ac:dyDescent="0.25">
      <c r="A26" t="s">
        <v>251</v>
      </c>
      <c r="B26" t="s">
        <v>208</v>
      </c>
      <c r="C26" s="9">
        <v>46013</v>
      </c>
      <c r="D26" s="9">
        <v>46029</v>
      </c>
      <c r="E26">
        <v>0</v>
      </c>
      <c r="F26">
        <v>4228</v>
      </c>
      <c r="G26">
        <v>376</v>
      </c>
      <c r="H26" s="10">
        <v>601.26</v>
      </c>
      <c r="I26">
        <v>1.7000000000000001E-2</v>
      </c>
      <c r="J26">
        <v>1</v>
      </c>
    </row>
    <row r="27" spans="1:10" ht="15" customHeight="1" x14ac:dyDescent="0.25">
      <c r="A27" t="s">
        <v>252</v>
      </c>
      <c r="B27" t="s">
        <v>203</v>
      </c>
      <c r="C27" s="9">
        <v>45858</v>
      </c>
      <c r="D27" s="9">
        <v>45872</v>
      </c>
      <c r="E27">
        <v>0</v>
      </c>
      <c r="F27">
        <v>1481</v>
      </c>
      <c r="G27">
        <v>0</v>
      </c>
      <c r="H27" s="10">
        <v>885.2</v>
      </c>
      <c r="I27">
        <v>4.4999999999999998E-2</v>
      </c>
      <c r="J27">
        <v>1</v>
      </c>
    </row>
    <row r="28" spans="1:10" ht="15" customHeight="1" x14ac:dyDescent="0.25">
      <c r="A28" t="s">
        <v>253</v>
      </c>
      <c r="B28" t="s">
        <v>207</v>
      </c>
      <c r="C28" s="9">
        <v>45980</v>
      </c>
      <c r="D28" s="9">
        <v>45988</v>
      </c>
      <c r="E28">
        <v>0</v>
      </c>
      <c r="F28">
        <v>4846</v>
      </c>
      <c r="G28">
        <v>213</v>
      </c>
      <c r="H28" s="10">
        <v>674.15</v>
      </c>
      <c r="I28">
        <v>1.0999999999999999E-2</v>
      </c>
      <c r="J28">
        <v>3</v>
      </c>
    </row>
    <row r="29" spans="1:10" ht="15" customHeight="1" x14ac:dyDescent="0.25">
      <c r="A29" t="s">
        <v>254</v>
      </c>
      <c r="B29" t="s">
        <v>169</v>
      </c>
      <c r="C29" s="9">
        <v>45781</v>
      </c>
      <c r="D29" s="9">
        <v>45798</v>
      </c>
      <c r="E29">
        <v>0</v>
      </c>
      <c r="F29">
        <v>472</v>
      </c>
      <c r="G29">
        <v>33</v>
      </c>
      <c r="H29" s="10">
        <v>871.62</v>
      </c>
      <c r="I29">
        <v>-4.9000000000000002E-2</v>
      </c>
      <c r="J29">
        <v>4</v>
      </c>
    </row>
    <row r="30" spans="1:10" ht="15" customHeight="1" x14ac:dyDescent="0.25">
      <c r="A30" t="s">
        <v>255</v>
      </c>
      <c r="B30" t="s">
        <v>179</v>
      </c>
      <c r="C30" s="9">
        <v>45910</v>
      </c>
      <c r="D30" s="9">
        <v>45918</v>
      </c>
      <c r="E30">
        <v>1</v>
      </c>
      <c r="F30">
        <v>1616</v>
      </c>
      <c r="G30">
        <v>151</v>
      </c>
      <c r="H30" s="10">
        <v>519.48</v>
      </c>
      <c r="I30">
        <v>4.3999999999999997E-2</v>
      </c>
      <c r="J30">
        <v>5</v>
      </c>
    </row>
    <row r="31" spans="1:10" ht="15" customHeight="1" x14ac:dyDescent="0.25">
      <c r="A31" t="s">
        <v>256</v>
      </c>
      <c r="B31" t="s">
        <v>212</v>
      </c>
      <c r="C31" s="9">
        <v>45787</v>
      </c>
      <c r="D31" s="9">
        <v>45803</v>
      </c>
      <c r="E31">
        <v>0</v>
      </c>
      <c r="F31">
        <v>2846</v>
      </c>
      <c r="G31">
        <v>159</v>
      </c>
      <c r="H31" s="10">
        <v>887.7</v>
      </c>
      <c r="I31">
        <v>-2.5999999999999999E-2</v>
      </c>
      <c r="J31">
        <v>2</v>
      </c>
    </row>
    <row r="32" spans="1:10" ht="15" customHeight="1" x14ac:dyDescent="0.25">
      <c r="A32" t="s">
        <v>257</v>
      </c>
      <c r="B32" t="s">
        <v>208</v>
      </c>
      <c r="C32" s="9">
        <v>46018</v>
      </c>
      <c r="D32" s="9">
        <v>46023</v>
      </c>
      <c r="E32">
        <v>0</v>
      </c>
      <c r="F32">
        <v>2804</v>
      </c>
      <c r="G32">
        <v>232</v>
      </c>
      <c r="H32" s="10">
        <v>826.82</v>
      </c>
      <c r="I32">
        <v>-3.6999999999999998E-2</v>
      </c>
      <c r="J32">
        <v>2</v>
      </c>
    </row>
    <row r="33" spans="1:10" ht="15" customHeight="1" x14ac:dyDescent="0.25">
      <c r="A33" t="s">
        <v>258</v>
      </c>
      <c r="B33" t="s">
        <v>150</v>
      </c>
      <c r="C33" s="9">
        <v>45918</v>
      </c>
      <c r="D33" s="9">
        <v>45926</v>
      </c>
      <c r="E33">
        <v>0</v>
      </c>
      <c r="F33">
        <v>3276</v>
      </c>
      <c r="G33">
        <v>146</v>
      </c>
      <c r="H33" s="10">
        <v>201.59</v>
      </c>
      <c r="I33">
        <v>-1E-3</v>
      </c>
      <c r="J33">
        <v>4</v>
      </c>
    </row>
    <row r="34" spans="1:10" ht="15" customHeight="1" x14ac:dyDescent="0.25">
      <c r="A34" t="s">
        <v>259</v>
      </c>
      <c r="B34" t="s">
        <v>150</v>
      </c>
      <c r="C34" s="9">
        <v>45874</v>
      </c>
      <c r="D34" s="9">
        <v>45888</v>
      </c>
      <c r="E34">
        <v>0</v>
      </c>
      <c r="F34">
        <v>667</v>
      </c>
      <c r="G34">
        <v>29</v>
      </c>
      <c r="H34" s="10">
        <v>24.36</v>
      </c>
      <c r="I34">
        <v>1.9E-2</v>
      </c>
      <c r="J34">
        <v>1</v>
      </c>
    </row>
    <row r="35" spans="1:10" ht="15" customHeight="1" x14ac:dyDescent="0.25">
      <c r="A35" t="s">
        <v>260</v>
      </c>
      <c r="B35" t="s">
        <v>179</v>
      </c>
      <c r="C35" s="9">
        <v>45881</v>
      </c>
      <c r="D35" s="9">
        <v>45894</v>
      </c>
      <c r="E35">
        <v>0</v>
      </c>
      <c r="F35">
        <v>386</v>
      </c>
      <c r="G35">
        <v>30</v>
      </c>
      <c r="H35" s="10">
        <v>71.16</v>
      </c>
      <c r="I35">
        <v>6.0999999999999999E-2</v>
      </c>
      <c r="J35">
        <v>4</v>
      </c>
    </row>
    <row r="36" spans="1:10" ht="15" customHeight="1" x14ac:dyDescent="0.25">
      <c r="A36" t="s">
        <v>261</v>
      </c>
      <c r="B36" t="s">
        <v>197</v>
      </c>
      <c r="C36" s="9">
        <v>45761</v>
      </c>
      <c r="D36" s="9">
        <v>45777</v>
      </c>
      <c r="E36">
        <v>0</v>
      </c>
      <c r="F36">
        <v>108</v>
      </c>
      <c r="G36">
        <v>5</v>
      </c>
      <c r="H36" s="10">
        <v>460.56</v>
      </c>
      <c r="I36">
        <v>3.5999999999999997E-2</v>
      </c>
      <c r="J36">
        <v>3</v>
      </c>
    </row>
    <row r="37" spans="1:10" ht="15" customHeight="1" x14ac:dyDescent="0.25">
      <c r="A37" t="s">
        <v>262</v>
      </c>
      <c r="B37" t="s">
        <v>158</v>
      </c>
      <c r="C37" s="9">
        <v>45767</v>
      </c>
      <c r="D37" s="9">
        <v>45785</v>
      </c>
      <c r="E37">
        <v>1</v>
      </c>
      <c r="F37">
        <v>573</v>
      </c>
      <c r="G37">
        <v>38</v>
      </c>
      <c r="H37" s="10">
        <v>162.13</v>
      </c>
      <c r="I37">
        <v>3.2000000000000001E-2</v>
      </c>
      <c r="J37">
        <v>5</v>
      </c>
    </row>
    <row r="38" spans="1:10" ht="15" customHeight="1" x14ac:dyDescent="0.25">
      <c r="A38" t="s">
        <v>263</v>
      </c>
      <c r="B38" t="s">
        <v>175</v>
      </c>
      <c r="C38" s="9">
        <v>45865</v>
      </c>
      <c r="D38" s="9">
        <v>45884</v>
      </c>
      <c r="E38">
        <v>0</v>
      </c>
      <c r="F38">
        <v>3491</v>
      </c>
      <c r="G38">
        <v>284</v>
      </c>
      <c r="H38" s="10">
        <v>286.48</v>
      </c>
      <c r="I38">
        <v>7.1999999999999995E-2</v>
      </c>
      <c r="J38">
        <v>2</v>
      </c>
    </row>
    <row r="39" spans="1:10" ht="15" customHeight="1" x14ac:dyDescent="0.25">
      <c r="A39" t="s">
        <v>264</v>
      </c>
      <c r="B39" t="s">
        <v>179</v>
      </c>
      <c r="C39" s="9">
        <v>45830</v>
      </c>
      <c r="D39" s="9">
        <v>45842</v>
      </c>
      <c r="E39">
        <v>0</v>
      </c>
      <c r="F39">
        <v>3235</v>
      </c>
      <c r="G39">
        <v>277</v>
      </c>
      <c r="H39" s="10">
        <v>813.62</v>
      </c>
      <c r="I39">
        <v>5.0999999999999997E-2</v>
      </c>
      <c r="J39">
        <v>1</v>
      </c>
    </row>
    <row r="40" spans="1:10" ht="15" customHeight="1" x14ac:dyDescent="0.25">
      <c r="A40" t="s">
        <v>265</v>
      </c>
      <c r="B40" t="s">
        <v>197</v>
      </c>
      <c r="C40" s="9">
        <v>45777</v>
      </c>
      <c r="D40" s="9">
        <v>45782</v>
      </c>
      <c r="E40">
        <v>0</v>
      </c>
      <c r="F40">
        <v>1221</v>
      </c>
      <c r="G40">
        <v>34</v>
      </c>
      <c r="H40" s="10">
        <v>644.24</v>
      </c>
      <c r="I40">
        <v>6.4000000000000001E-2</v>
      </c>
      <c r="J40">
        <v>2</v>
      </c>
    </row>
    <row r="41" spans="1:10" ht="15" customHeight="1" x14ac:dyDescent="0.25">
      <c r="A41" t="s">
        <v>266</v>
      </c>
      <c r="B41" t="s">
        <v>143</v>
      </c>
      <c r="C41" s="9">
        <v>45764</v>
      </c>
      <c r="D41" s="9">
        <v>45776</v>
      </c>
      <c r="E41">
        <v>0</v>
      </c>
      <c r="F41">
        <v>3783</v>
      </c>
      <c r="G41">
        <v>389</v>
      </c>
      <c r="H41" s="10">
        <v>614.66999999999996</v>
      </c>
      <c r="I41">
        <v>-2.1000000000000001E-2</v>
      </c>
      <c r="J41">
        <v>3</v>
      </c>
    </row>
    <row r="42" spans="1:10" ht="15" customHeight="1" x14ac:dyDescent="0.25">
      <c r="A42" t="s">
        <v>267</v>
      </c>
      <c r="B42" t="s">
        <v>216</v>
      </c>
      <c r="C42" s="9">
        <v>46036</v>
      </c>
      <c r="D42" s="9">
        <v>46052</v>
      </c>
      <c r="E42">
        <v>0</v>
      </c>
      <c r="F42">
        <v>4270</v>
      </c>
      <c r="G42">
        <v>214</v>
      </c>
      <c r="H42" s="10">
        <v>488.59</v>
      </c>
      <c r="I42">
        <v>-3.0000000000000001E-3</v>
      </c>
      <c r="J42">
        <v>5</v>
      </c>
    </row>
    <row r="43" spans="1:10" ht="15" customHeight="1" x14ac:dyDescent="0.25">
      <c r="A43" t="s">
        <v>268</v>
      </c>
      <c r="B43" t="s">
        <v>197</v>
      </c>
      <c r="C43" s="9">
        <v>45750</v>
      </c>
      <c r="D43" s="9">
        <v>45762</v>
      </c>
      <c r="E43">
        <v>0</v>
      </c>
      <c r="F43">
        <v>4691</v>
      </c>
      <c r="G43">
        <v>158</v>
      </c>
      <c r="H43" s="10">
        <v>457.59</v>
      </c>
      <c r="I43">
        <v>3.5000000000000003E-2</v>
      </c>
      <c r="J43">
        <v>1</v>
      </c>
    </row>
    <row r="44" spans="1:10" ht="15" customHeight="1" x14ac:dyDescent="0.25">
      <c r="A44" t="s">
        <v>269</v>
      </c>
      <c r="B44" t="s">
        <v>200</v>
      </c>
      <c r="C44" s="9">
        <v>45920</v>
      </c>
      <c r="D44" s="9">
        <v>45939</v>
      </c>
      <c r="E44">
        <v>0</v>
      </c>
      <c r="F44">
        <v>2370</v>
      </c>
      <c r="G44">
        <v>160</v>
      </c>
      <c r="H44" s="10">
        <v>703.67</v>
      </c>
      <c r="I44">
        <v>6.3E-2</v>
      </c>
      <c r="J44">
        <v>2</v>
      </c>
    </row>
    <row r="45" spans="1:10" ht="15" customHeight="1" x14ac:dyDescent="0.25">
      <c r="A45" t="s">
        <v>270</v>
      </c>
      <c r="B45" t="s">
        <v>175</v>
      </c>
      <c r="C45" s="9">
        <v>45793</v>
      </c>
      <c r="D45" s="9">
        <v>45807</v>
      </c>
      <c r="E45">
        <v>0</v>
      </c>
      <c r="F45">
        <v>4506</v>
      </c>
      <c r="G45">
        <v>381</v>
      </c>
      <c r="H45" s="10">
        <v>531.37</v>
      </c>
      <c r="I45">
        <v>4.5999999999999999E-2</v>
      </c>
      <c r="J45">
        <v>2</v>
      </c>
    </row>
    <row r="46" spans="1:10" ht="15" customHeight="1" x14ac:dyDescent="0.25">
      <c r="A46" t="s">
        <v>271</v>
      </c>
      <c r="B46" t="s">
        <v>205</v>
      </c>
      <c r="C46" s="9">
        <v>45881</v>
      </c>
      <c r="D46" s="9">
        <v>45892</v>
      </c>
      <c r="E46">
        <v>0</v>
      </c>
      <c r="F46">
        <v>4763</v>
      </c>
      <c r="G46">
        <v>94</v>
      </c>
      <c r="H46" s="10">
        <v>445.52</v>
      </c>
      <c r="I46">
        <v>3.7999999999999999E-2</v>
      </c>
      <c r="J46">
        <v>3</v>
      </c>
    </row>
    <row r="47" spans="1:10" ht="15" customHeight="1" x14ac:dyDescent="0.25">
      <c r="A47" t="s">
        <v>272</v>
      </c>
      <c r="B47" t="s">
        <v>179</v>
      </c>
      <c r="C47" s="9">
        <v>45807</v>
      </c>
      <c r="D47" s="9">
        <v>45822</v>
      </c>
      <c r="E47">
        <v>0</v>
      </c>
      <c r="F47">
        <v>2888</v>
      </c>
      <c r="G47">
        <v>262</v>
      </c>
      <c r="H47" s="10">
        <v>711.71</v>
      </c>
      <c r="I47">
        <v>4.9000000000000002E-2</v>
      </c>
      <c r="J47">
        <v>3</v>
      </c>
    </row>
    <row r="48" spans="1:10" ht="15" customHeight="1" x14ac:dyDescent="0.25">
      <c r="A48" t="s">
        <v>273</v>
      </c>
      <c r="B48" t="s">
        <v>116</v>
      </c>
      <c r="C48" s="9">
        <v>45900</v>
      </c>
      <c r="D48" s="9">
        <v>45909</v>
      </c>
      <c r="E48">
        <v>0</v>
      </c>
      <c r="F48">
        <v>942</v>
      </c>
      <c r="G48">
        <v>15</v>
      </c>
      <c r="H48" s="10">
        <v>428.63</v>
      </c>
      <c r="I48">
        <v>1.7000000000000001E-2</v>
      </c>
      <c r="J48">
        <v>4</v>
      </c>
    </row>
    <row r="49" spans="1:10" ht="15" customHeight="1" x14ac:dyDescent="0.25">
      <c r="A49" t="s">
        <v>274</v>
      </c>
      <c r="B49" t="s">
        <v>150</v>
      </c>
      <c r="C49" s="9">
        <v>46027</v>
      </c>
      <c r="D49" s="9">
        <v>46033</v>
      </c>
      <c r="E49">
        <v>0</v>
      </c>
      <c r="F49">
        <v>1425</v>
      </c>
      <c r="G49">
        <v>55</v>
      </c>
      <c r="H49" s="10">
        <v>546.42999999999995</v>
      </c>
      <c r="I49">
        <v>6.6000000000000003E-2</v>
      </c>
      <c r="J49">
        <v>3</v>
      </c>
    </row>
    <row r="50" spans="1:10" ht="15" customHeight="1" x14ac:dyDescent="0.25">
      <c r="A50" t="s">
        <v>275</v>
      </c>
      <c r="B50" t="s">
        <v>216</v>
      </c>
      <c r="C50" s="9">
        <v>45782</v>
      </c>
      <c r="D50" s="9">
        <v>45795</v>
      </c>
      <c r="E50">
        <v>0</v>
      </c>
      <c r="F50">
        <v>1589</v>
      </c>
      <c r="G50">
        <v>79</v>
      </c>
      <c r="H50" s="10">
        <v>507.56</v>
      </c>
      <c r="I50">
        <v>-2.5999999999999999E-2</v>
      </c>
      <c r="J50">
        <v>1</v>
      </c>
    </row>
    <row r="51" spans="1:10" ht="15" customHeight="1" x14ac:dyDescent="0.25">
      <c r="A51" t="s">
        <v>276</v>
      </c>
      <c r="B51" t="s">
        <v>175</v>
      </c>
      <c r="C51" s="9">
        <v>46059</v>
      </c>
      <c r="D51" s="9">
        <v>46072</v>
      </c>
      <c r="E51">
        <v>0</v>
      </c>
      <c r="F51">
        <v>746</v>
      </c>
      <c r="G51">
        <v>50</v>
      </c>
      <c r="H51" s="10">
        <v>752.3</v>
      </c>
      <c r="I51">
        <v>-0.02</v>
      </c>
      <c r="J51">
        <v>5</v>
      </c>
    </row>
    <row r="52" spans="1:10" ht="15" customHeight="1" x14ac:dyDescent="0.25">
      <c r="A52" t="s">
        <v>277</v>
      </c>
      <c r="B52" t="s">
        <v>133</v>
      </c>
      <c r="C52" s="9">
        <v>46062</v>
      </c>
      <c r="D52" s="9">
        <v>46078</v>
      </c>
      <c r="E52">
        <v>0</v>
      </c>
      <c r="F52">
        <v>3792</v>
      </c>
      <c r="G52">
        <v>98</v>
      </c>
      <c r="H52" s="10">
        <v>89.44</v>
      </c>
      <c r="I52">
        <v>-4.4999999999999998E-2</v>
      </c>
      <c r="J52">
        <v>2</v>
      </c>
    </row>
    <row r="53" spans="1:10" ht="15" customHeight="1" x14ac:dyDescent="0.25">
      <c r="A53" t="s">
        <v>278</v>
      </c>
      <c r="B53" t="s">
        <v>186</v>
      </c>
      <c r="C53" s="9">
        <v>46086</v>
      </c>
      <c r="D53" s="9">
        <v>46104</v>
      </c>
      <c r="E53">
        <v>0</v>
      </c>
      <c r="F53">
        <v>3812</v>
      </c>
      <c r="G53">
        <v>420</v>
      </c>
      <c r="H53" s="10">
        <v>377.89</v>
      </c>
      <c r="I53">
        <v>0.05</v>
      </c>
      <c r="J53">
        <v>2</v>
      </c>
    </row>
    <row r="54" spans="1:10" ht="15" customHeight="1" x14ac:dyDescent="0.25">
      <c r="A54" t="s">
        <v>279</v>
      </c>
      <c r="B54" t="s">
        <v>207</v>
      </c>
      <c r="C54" s="9">
        <v>45840</v>
      </c>
      <c r="D54" s="9">
        <v>45854</v>
      </c>
      <c r="E54">
        <v>0</v>
      </c>
      <c r="F54">
        <v>1080</v>
      </c>
      <c r="G54">
        <v>51</v>
      </c>
      <c r="H54" s="10">
        <v>776.26</v>
      </c>
      <c r="I54">
        <v>5.7000000000000002E-2</v>
      </c>
      <c r="J54">
        <v>4</v>
      </c>
    </row>
    <row r="55" spans="1:10" ht="15" customHeight="1" x14ac:dyDescent="0.25">
      <c r="A55" t="s">
        <v>280</v>
      </c>
      <c r="B55" t="s">
        <v>195</v>
      </c>
      <c r="C55" s="9">
        <v>45954</v>
      </c>
      <c r="D55" s="9">
        <v>45963</v>
      </c>
      <c r="E55">
        <v>0</v>
      </c>
      <c r="F55">
        <v>2445</v>
      </c>
      <c r="G55">
        <v>195</v>
      </c>
      <c r="H55" s="10">
        <v>455.11</v>
      </c>
      <c r="I55">
        <v>-0.05</v>
      </c>
      <c r="J55">
        <v>1</v>
      </c>
    </row>
    <row r="56" spans="1:10" ht="15" customHeight="1" x14ac:dyDescent="0.25">
      <c r="A56" t="s">
        <v>281</v>
      </c>
      <c r="B56" t="s">
        <v>191</v>
      </c>
      <c r="C56" s="9">
        <v>45954</v>
      </c>
      <c r="D56" s="9">
        <v>45970</v>
      </c>
      <c r="E56">
        <v>0</v>
      </c>
      <c r="F56">
        <v>4668</v>
      </c>
      <c r="G56">
        <v>489</v>
      </c>
      <c r="H56" s="10">
        <v>800.3</v>
      </c>
      <c r="I56">
        <v>2.4E-2</v>
      </c>
      <c r="J56">
        <v>1</v>
      </c>
    </row>
    <row r="57" spans="1:10" ht="15" customHeight="1" x14ac:dyDescent="0.25">
      <c r="A57" t="s">
        <v>282</v>
      </c>
      <c r="B57" t="s">
        <v>137</v>
      </c>
      <c r="C57" s="9">
        <v>46019</v>
      </c>
      <c r="D57" s="9">
        <v>46028</v>
      </c>
      <c r="E57">
        <v>0</v>
      </c>
      <c r="F57">
        <v>369</v>
      </c>
      <c r="G57">
        <v>19</v>
      </c>
      <c r="H57" s="10">
        <v>771.28</v>
      </c>
      <c r="I57">
        <v>2.9000000000000001E-2</v>
      </c>
      <c r="J57">
        <v>2</v>
      </c>
    </row>
    <row r="58" spans="1:10" ht="15" customHeight="1" x14ac:dyDescent="0.25">
      <c r="A58" t="s">
        <v>283</v>
      </c>
      <c r="B58" t="s">
        <v>137</v>
      </c>
      <c r="C58" s="9">
        <v>45945</v>
      </c>
      <c r="D58" s="9">
        <v>45950</v>
      </c>
      <c r="E58">
        <v>0</v>
      </c>
      <c r="F58">
        <v>2635</v>
      </c>
      <c r="G58">
        <v>174</v>
      </c>
      <c r="H58" s="10">
        <v>613.28</v>
      </c>
      <c r="I58">
        <v>-1.4E-2</v>
      </c>
      <c r="J58">
        <v>1</v>
      </c>
    </row>
    <row r="59" spans="1:10" ht="15" customHeight="1" x14ac:dyDescent="0.25">
      <c r="A59" t="s">
        <v>284</v>
      </c>
      <c r="B59" t="s">
        <v>191</v>
      </c>
      <c r="C59" s="9">
        <v>45927</v>
      </c>
      <c r="D59" s="9">
        <v>45946</v>
      </c>
      <c r="E59">
        <v>0</v>
      </c>
      <c r="F59">
        <v>2473</v>
      </c>
      <c r="G59">
        <v>255</v>
      </c>
      <c r="H59" s="10">
        <v>88.17</v>
      </c>
      <c r="I59">
        <v>1.4999999999999999E-2</v>
      </c>
      <c r="J59">
        <v>3</v>
      </c>
    </row>
    <row r="60" spans="1:10" ht="15" customHeight="1" x14ac:dyDescent="0.25">
      <c r="A60" t="s">
        <v>285</v>
      </c>
      <c r="B60" t="s">
        <v>161</v>
      </c>
      <c r="C60" s="9">
        <v>45757</v>
      </c>
      <c r="D60" s="9">
        <v>45766</v>
      </c>
      <c r="E60">
        <v>0</v>
      </c>
      <c r="F60">
        <v>2815</v>
      </c>
      <c r="G60">
        <v>274</v>
      </c>
      <c r="H60" s="10">
        <v>170.84</v>
      </c>
      <c r="I60">
        <v>5.0999999999999997E-2</v>
      </c>
      <c r="J60">
        <v>1</v>
      </c>
    </row>
    <row r="61" spans="1:10" ht="15" customHeight="1" x14ac:dyDescent="0.25">
      <c r="A61" t="s">
        <v>286</v>
      </c>
      <c r="B61" t="s">
        <v>210</v>
      </c>
      <c r="C61" s="9">
        <v>46042</v>
      </c>
      <c r="D61" s="9">
        <v>46047</v>
      </c>
      <c r="E61">
        <v>0</v>
      </c>
      <c r="F61">
        <v>101</v>
      </c>
      <c r="G61">
        <v>8</v>
      </c>
      <c r="H61" s="10">
        <v>686.42</v>
      </c>
      <c r="I61">
        <v>5.2999999999999999E-2</v>
      </c>
      <c r="J61">
        <v>3</v>
      </c>
    </row>
    <row r="62" spans="1:10" ht="15" customHeight="1" x14ac:dyDescent="0.25">
      <c r="A62" t="s">
        <v>287</v>
      </c>
      <c r="B62" t="s">
        <v>207</v>
      </c>
      <c r="C62" s="9">
        <v>45990</v>
      </c>
      <c r="D62" s="9">
        <v>45996</v>
      </c>
      <c r="E62">
        <v>0</v>
      </c>
      <c r="F62">
        <v>2018</v>
      </c>
      <c r="G62">
        <v>94</v>
      </c>
      <c r="H62" s="10">
        <v>540.84</v>
      </c>
      <c r="I62">
        <v>6.0000000000000001E-3</v>
      </c>
      <c r="J62">
        <v>2</v>
      </c>
    </row>
    <row r="63" spans="1:10" ht="15" customHeight="1" x14ac:dyDescent="0.25">
      <c r="A63" t="s">
        <v>288</v>
      </c>
      <c r="B63" t="s">
        <v>181</v>
      </c>
      <c r="C63" s="9">
        <v>45910</v>
      </c>
      <c r="D63" s="9">
        <v>45922</v>
      </c>
      <c r="E63">
        <v>0</v>
      </c>
      <c r="F63">
        <v>427</v>
      </c>
      <c r="G63">
        <v>33</v>
      </c>
      <c r="H63" s="10">
        <v>418.05</v>
      </c>
      <c r="I63">
        <v>-3.5000000000000003E-2</v>
      </c>
      <c r="J63">
        <v>2</v>
      </c>
    </row>
    <row r="64" spans="1:10" ht="15" customHeight="1" x14ac:dyDescent="0.25">
      <c r="A64" t="s">
        <v>289</v>
      </c>
      <c r="B64" t="s">
        <v>201</v>
      </c>
      <c r="C64" s="9">
        <v>45892</v>
      </c>
      <c r="D64" s="9">
        <v>45899</v>
      </c>
      <c r="E64">
        <v>0</v>
      </c>
      <c r="F64">
        <v>1487</v>
      </c>
      <c r="G64">
        <v>129</v>
      </c>
      <c r="H64" s="10">
        <v>876.76</v>
      </c>
      <c r="I64">
        <v>-2.9000000000000001E-2</v>
      </c>
      <c r="J64">
        <v>2</v>
      </c>
    </row>
    <row r="65" spans="1:10" ht="15" customHeight="1" x14ac:dyDescent="0.25">
      <c r="A65" t="s">
        <v>290</v>
      </c>
      <c r="B65" t="s">
        <v>214</v>
      </c>
      <c r="C65" s="9">
        <v>45773</v>
      </c>
      <c r="D65" s="9">
        <v>45792</v>
      </c>
      <c r="E65">
        <v>0</v>
      </c>
      <c r="F65">
        <v>278</v>
      </c>
      <c r="G65">
        <v>8</v>
      </c>
      <c r="H65" s="10">
        <v>47.1</v>
      </c>
      <c r="I65">
        <v>-1.7999999999999999E-2</v>
      </c>
      <c r="J65">
        <v>3</v>
      </c>
    </row>
    <row r="66" spans="1:10" ht="15" customHeight="1" x14ac:dyDescent="0.25">
      <c r="A66" t="s">
        <v>291</v>
      </c>
      <c r="B66" t="s">
        <v>130</v>
      </c>
      <c r="C66" s="9">
        <v>45787</v>
      </c>
      <c r="D66" s="9">
        <v>45800</v>
      </c>
      <c r="E66">
        <v>0</v>
      </c>
      <c r="F66">
        <v>2858</v>
      </c>
      <c r="G66">
        <v>159</v>
      </c>
      <c r="H66" s="10">
        <v>469.11</v>
      </c>
      <c r="I66">
        <v>7.8E-2</v>
      </c>
      <c r="J66">
        <v>4</v>
      </c>
    </row>
    <row r="67" spans="1:10" ht="15" customHeight="1" x14ac:dyDescent="0.25">
      <c r="A67" t="s">
        <v>292</v>
      </c>
      <c r="B67" t="s">
        <v>175</v>
      </c>
      <c r="C67" s="9">
        <v>46087</v>
      </c>
      <c r="D67" s="9">
        <v>46104</v>
      </c>
      <c r="E67">
        <v>0</v>
      </c>
      <c r="F67">
        <v>2087</v>
      </c>
      <c r="G67">
        <v>163</v>
      </c>
      <c r="H67" s="10">
        <v>889.34</v>
      </c>
      <c r="I67">
        <v>6.7000000000000004E-2</v>
      </c>
      <c r="J67">
        <v>2</v>
      </c>
    </row>
    <row r="68" spans="1:10" ht="15" customHeight="1" x14ac:dyDescent="0.25">
      <c r="A68" t="s">
        <v>293</v>
      </c>
      <c r="B68" t="s">
        <v>164</v>
      </c>
      <c r="C68" s="9">
        <v>45904</v>
      </c>
      <c r="D68" s="9">
        <v>45911</v>
      </c>
      <c r="E68">
        <v>0</v>
      </c>
      <c r="F68">
        <v>624</v>
      </c>
      <c r="G68">
        <v>12</v>
      </c>
      <c r="H68" s="10">
        <v>486.44</v>
      </c>
      <c r="I68">
        <v>-0.03</v>
      </c>
      <c r="J68">
        <v>2</v>
      </c>
    </row>
    <row r="69" spans="1:10" ht="15" customHeight="1" x14ac:dyDescent="0.25">
      <c r="A69" t="s">
        <v>294</v>
      </c>
      <c r="B69" t="s">
        <v>143</v>
      </c>
      <c r="C69" s="9">
        <v>46004</v>
      </c>
      <c r="D69" s="9">
        <v>46023</v>
      </c>
      <c r="E69">
        <v>0</v>
      </c>
      <c r="F69">
        <v>2040</v>
      </c>
      <c r="G69">
        <v>172</v>
      </c>
      <c r="H69" s="10">
        <v>297.14999999999998</v>
      </c>
      <c r="I69">
        <v>3.7999999999999999E-2</v>
      </c>
      <c r="J69">
        <v>1</v>
      </c>
    </row>
    <row r="70" spans="1:10" ht="15" customHeight="1" x14ac:dyDescent="0.25">
      <c r="A70" t="s">
        <v>295</v>
      </c>
      <c r="B70" t="s">
        <v>207</v>
      </c>
      <c r="C70" s="9">
        <v>45838</v>
      </c>
      <c r="D70" s="9">
        <v>45843</v>
      </c>
      <c r="E70">
        <v>0</v>
      </c>
      <c r="F70">
        <v>2500</v>
      </c>
      <c r="G70">
        <v>154</v>
      </c>
      <c r="H70" s="10">
        <v>487.18</v>
      </c>
      <c r="I70">
        <v>-4.1000000000000002E-2</v>
      </c>
      <c r="J70">
        <v>1</v>
      </c>
    </row>
    <row r="71" spans="1:10" ht="15" customHeight="1" x14ac:dyDescent="0.25">
      <c r="A71" t="s">
        <v>296</v>
      </c>
      <c r="B71" t="s">
        <v>212</v>
      </c>
      <c r="C71" s="9">
        <v>45899</v>
      </c>
      <c r="D71" s="9">
        <v>45914</v>
      </c>
      <c r="E71">
        <v>0</v>
      </c>
      <c r="F71">
        <v>4670</v>
      </c>
      <c r="G71">
        <v>148</v>
      </c>
      <c r="H71" s="10">
        <v>378.32</v>
      </c>
      <c r="I71">
        <v>-6.0000000000000001E-3</v>
      </c>
      <c r="J71">
        <v>1</v>
      </c>
    </row>
    <row r="72" spans="1:10" ht="15" customHeight="1" x14ac:dyDescent="0.25">
      <c r="A72" t="s">
        <v>297</v>
      </c>
      <c r="B72" t="s">
        <v>214</v>
      </c>
      <c r="C72" s="9">
        <v>45870</v>
      </c>
      <c r="D72" s="9">
        <v>45883</v>
      </c>
      <c r="E72">
        <v>0</v>
      </c>
      <c r="F72">
        <v>4230</v>
      </c>
      <c r="G72">
        <v>220</v>
      </c>
      <c r="H72" s="10">
        <v>875.6</v>
      </c>
      <c r="I72">
        <v>2E-3</v>
      </c>
      <c r="J72">
        <v>2</v>
      </c>
    </row>
    <row r="73" spans="1:10" ht="15" customHeight="1" x14ac:dyDescent="0.25">
      <c r="A73" t="s">
        <v>298</v>
      </c>
      <c r="B73" t="s">
        <v>199</v>
      </c>
      <c r="C73" s="9">
        <v>46059</v>
      </c>
      <c r="D73" s="9">
        <v>46074</v>
      </c>
      <c r="E73">
        <v>0</v>
      </c>
      <c r="F73">
        <v>909</v>
      </c>
      <c r="G73">
        <v>41</v>
      </c>
      <c r="H73" s="10">
        <v>610.01</v>
      </c>
      <c r="I73">
        <v>-4.7E-2</v>
      </c>
      <c r="J73">
        <v>3</v>
      </c>
    </row>
    <row r="74" spans="1:10" ht="15" customHeight="1" x14ac:dyDescent="0.25">
      <c r="A74" t="s">
        <v>299</v>
      </c>
      <c r="B74" t="s">
        <v>152</v>
      </c>
      <c r="C74" s="9">
        <v>46055</v>
      </c>
      <c r="D74" s="9">
        <v>46072</v>
      </c>
      <c r="E74">
        <v>0</v>
      </c>
      <c r="F74">
        <v>2582</v>
      </c>
      <c r="G74">
        <v>133</v>
      </c>
      <c r="H74" s="10">
        <v>605.82000000000005</v>
      </c>
      <c r="I74">
        <v>6.8000000000000005E-2</v>
      </c>
      <c r="J74">
        <v>1</v>
      </c>
    </row>
    <row r="75" spans="1:10" ht="15" customHeight="1" x14ac:dyDescent="0.25">
      <c r="A75" t="s">
        <v>300</v>
      </c>
      <c r="B75" t="s">
        <v>208</v>
      </c>
      <c r="C75" s="9">
        <v>45900</v>
      </c>
      <c r="D75" s="9">
        <v>45907</v>
      </c>
      <c r="E75">
        <v>0</v>
      </c>
      <c r="F75">
        <v>3415</v>
      </c>
      <c r="G75">
        <v>270</v>
      </c>
      <c r="H75" s="10">
        <v>846.38</v>
      </c>
      <c r="I75">
        <v>2.8000000000000001E-2</v>
      </c>
      <c r="J75">
        <v>1</v>
      </c>
    </row>
    <row r="76" spans="1:10" ht="15" customHeight="1" x14ac:dyDescent="0.25">
      <c r="A76" t="s">
        <v>301</v>
      </c>
      <c r="B76" t="s">
        <v>205</v>
      </c>
      <c r="C76" s="9">
        <v>45750</v>
      </c>
      <c r="D76" s="9">
        <v>45770</v>
      </c>
      <c r="E76">
        <v>0</v>
      </c>
      <c r="F76">
        <v>209</v>
      </c>
      <c r="G76">
        <v>0</v>
      </c>
      <c r="H76" s="10">
        <v>500.77</v>
      </c>
      <c r="I76">
        <v>-3.2000000000000001E-2</v>
      </c>
      <c r="J76">
        <v>4</v>
      </c>
    </row>
    <row r="77" spans="1:10" ht="15" customHeight="1" x14ac:dyDescent="0.25">
      <c r="A77" t="s">
        <v>302</v>
      </c>
      <c r="B77" t="s">
        <v>164</v>
      </c>
      <c r="C77" s="9">
        <v>46033</v>
      </c>
      <c r="D77" s="9">
        <v>46051</v>
      </c>
      <c r="E77">
        <v>0</v>
      </c>
      <c r="F77">
        <v>3465</v>
      </c>
      <c r="G77">
        <v>99</v>
      </c>
      <c r="H77" s="10">
        <v>601</v>
      </c>
      <c r="I77">
        <v>6.8000000000000005E-2</v>
      </c>
      <c r="J77">
        <v>2</v>
      </c>
    </row>
    <row r="78" spans="1:10" ht="15" customHeight="1" x14ac:dyDescent="0.25">
      <c r="A78" t="s">
        <v>303</v>
      </c>
      <c r="B78" t="s">
        <v>193</v>
      </c>
      <c r="C78" s="9">
        <v>45903</v>
      </c>
      <c r="D78" s="9">
        <v>45920</v>
      </c>
      <c r="E78">
        <v>0</v>
      </c>
      <c r="F78">
        <v>1856</v>
      </c>
      <c r="G78">
        <v>163</v>
      </c>
      <c r="H78" s="10">
        <v>824.79</v>
      </c>
      <c r="I78">
        <v>0.02</v>
      </c>
      <c r="J78">
        <v>3</v>
      </c>
    </row>
    <row r="79" spans="1:10" ht="15" customHeight="1" x14ac:dyDescent="0.25">
      <c r="A79" t="s">
        <v>304</v>
      </c>
      <c r="B79" t="s">
        <v>210</v>
      </c>
      <c r="C79" s="9">
        <v>46075</v>
      </c>
      <c r="D79" s="9">
        <v>46080</v>
      </c>
      <c r="E79">
        <v>0</v>
      </c>
      <c r="F79">
        <v>4695</v>
      </c>
      <c r="G79">
        <v>394</v>
      </c>
      <c r="H79" s="10">
        <v>574.63</v>
      </c>
      <c r="I79">
        <v>1.0999999999999999E-2</v>
      </c>
      <c r="J79">
        <v>2</v>
      </c>
    </row>
    <row r="80" spans="1:10" ht="15" customHeight="1" x14ac:dyDescent="0.25">
      <c r="A80" t="s">
        <v>305</v>
      </c>
      <c r="B80" t="s">
        <v>199</v>
      </c>
      <c r="C80" s="9">
        <v>45889</v>
      </c>
      <c r="D80" s="9">
        <v>45909</v>
      </c>
      <c r="E80">
        <v>0</v>
      </c>
      <c r="F80">
        <v>3166</v>
      </c>
      <c r="G80">
        <v>149</v>
      </c>
      <c r="H80" s="10">
        <v>121.41</v>
      </c>
      <c r="I80">
        <v>3.1E-2</v>
      </c>
      <c r="J80">
        <v>1</v>
      </c>
    </row>
    <row r="81" spans="1:10" ht="15" customHeight="1" x14ac:dyDescent="0.25">
      <c r="A81" t="s">
        <v>306</v>
      </c>
      <c r="B81" t="s">
        <v>208</v>
      </c>
      <c r="C81" s="9">
        <v>45916</v>
      </c>
      <c r="D81" s="9">
        <v>45925</v>
      </c>
      <c r="E81">
        <v>0</v>
      </c>
      <c r="F81">
        <v>302</v>
      </c>
      <c r="G81">
        <v>24</v>
      </c>
      <c r="H81" s="10">
        <v>595.21</v>
      </c>
      <c r="I81">
        <v>5.6000000000000001E-2</v>
      </c>
      <c r="J81">
        <v>1</v>
      </c>
    </row>
    <row r="82" spans="1:10" ht="15" customHeight="1" x14ac:dyDescent="0.25">
      <c r="A82" t="s">
        <v>307</v>
      </c>
      <c r="B82" t="s">
        <v>210</v>
      </c>
      <c r="C82" s="9">
        <v>45987</v>
      </c>
      <c r="D82" s="9">
        <v>45994</v>
      </c>
      <c r="E82">
        <v>0</v>
      </c>
      <c r="F82">
        <v>2813</v>
      </c>
      <c r="G82">
        <v>225</v>
      </c>
      <c r="H82" s="10">
        <v>284.07</v>
      </c>
      <c r="I82">
        <v>1.2999999999999999E-2</v>
      </c>
      <c r="J82">
        <v>2</v>
      </c>
    </row>
    <row r="83" spans="1:10" ht="15" customHeight="1" x14ac:dyDescent="0.25">
      <c r="A83" t="s">
        <v>308</v>
      </c>
      <c r="B83" t="s">
        <v>128</v>
      </c>
      <c r="C83" s="9">
        <v>45983</v>
      </c>
      <c r="D83" s="9">
        <v>46001</v>
      </c>
      <c r="E83">
        <v>0</v>
      </c>
      <c r="F83">
        <v>2504</v>
      </c>
      <c r="G83">
        <v>147</v>
      </c>
      <c r="H83" s="10">
        <v>141.41999999999999</v>
      </c>
      <c r="I83">
        <v>-1.7999999999999999E-2</v>
      </c>
      <c r="J83">
        <v>4</v>
      </c>
    </row>
    <row r="84" spans="1:10" ht="15" customHeight="1" x14ac:dyDescent="0.25">
      <c r="A84" t="s">
        <v>309</v>
      </c>
      <c r="B84" t="s">
        <v>216</v>
      </c>
      <c r="C84" s="9">
        <v>45876</v>
      </c>
      <c r="D84" s="9">
        <v>45894</v>
      </c>
      <c r="E84">
        <v>0</v>
      </c>
      <c r="F84">
        <v>2827</v>
      </c>
      <c r="G84">
        <v>131</v>
      </c>
      <c r="H84" s="10">
        <v>507.87</v>
      </c>
      <c r="I84">
        <v>5.3999999999999999E-2</v>
      </c>
      <c r="J84">
        <v>1</v>
      </c>
    </row>
    <row r="85" spans="1:10" ht="15" customHeight="1" x14ac:dyDescent="0.25">
      <c r="A85" t="s">
        <v>310</v>
      </c>
      <c r="B85" t="s">
        <v>143</v>
      </c>
      <c r="C85" s="9">
        <v>45976</v>
      </c>
      <c r="D85" s="9">
        <v>45994</v>
      </c>
      <c r="E85">
        <v>0</v>
      </c>
      <c r="F85">
        <v>1105</v>
      </c>
      <c r="G85">
        <v>115</v>
      </c>
      <c r="H85" s="10">
        <v>218.11</v>
      </c>
      <c r="I85">
        <v>0.05</v>
      </c>
      <c r="J85">
        <v>4</v>
      </c>
    </row>
    <row r="86" spans="1:10" ht="15" customHeight="1" x14ac:dyDescent="0.25">
      <c r="A86" t="s">
        <v>311</v>
      </c>
      <c r="B86" t="s">
        <v>122</v>
      </c>
      <c r="C86" s="9">
        <v>45818</v>
      </c>
      <c r="D86" s="9">
        <v>45830</v>
      </c>
      <c r="E86">
        <v>0</v>
      </c>
      <c r="F86">
        <v>1335</v>
      </c>
      <c r="G86">
        <v>83</v>
      </c>
      <c r="H86" s="10">
        <v>597.87</v>
      </c>
      <c r="I86">
        <v>-3.2000000000000001E-2</v>
      </c>
      <c r="J86">
        <v>3</v>
      </c>
    </row>
    <row r="87" spans="1:10" ht="15" customHeight="1" x14ac:dyDescent="0.25">
      <c r="A87" t="s">
        <v>312</v>
      </c>
      <c r="B87" t="s">
        <v>205</v>
      </c>
      <c r="C87" s="9">
        <v>46016</v>
      </c>
      <c r="D87" s="9">
        <v>46022</v>
      </c>
      <c r="E87">
        <v>0</v>
      </c>
      <c r="F87">
        <v>3361</v>
      </c>
      <c r="G87">
        <v>117</v>
      </c>
      <c r="H87" s="10">
        <v>681.94</v>
      </c>
      <c r="I87">
        <v>2E-3</v>
      </c>
      <c r="J87">
        <v>1</v>
      </c>
    </row>
    <row r="88" spans="1:10" ht="15" customHeight="1" x14ac:dyDescent="0.25">
      <c r="A88" t="s">
        <v>313</v>
      </c>
      <c r="B88" t="s">
        <v>201</v>
      </c>
      <c r="C88" s="9">
        <v>45899</v>
      </c>
      <c r="D88" s="9">
        <v>45912</v>
      </c>
      <c r="E88">
        <v>0</v>
      </c>
      <c r="F88">
        <v>3503</v>
      </c>
      <c r="G88">
        <v>418</v>
      </c>
      <c r="H88" s="10">
        <v>533.77</v>
      </c>
      <c r="I88">
        <v>5.8999999999999997E-2</v>
      </c>
      <c r="J88">
        <v>4</v>
      </c>
    </row>
    <row r="89" spans="1:10" ht="15" customHeight="1" x14ac:dyDescent="0.25">
      <c r="A89" t="s">
        <v>314</v>
      </c>
      <c r="B89" t="s">
        <v>143</v>
      </c>
      <c r="C89" s="9">
        <v>45925</v>
      </c>
      <c r="D89" s="9">
        <v>45941</v>
      </c>
      <c r="E89">
        <v>0</v>
      </c>
      <c r="F89">
        <v>362</v>
      </c>
      <c r="G89">
        <v>28</v>
      </c>
      <c r="H89" s="10">
        <v>872.73</v>
      </c>
      <c r="I89">
        <v>-5.0000000000000001E-3</v>
      </c>
      <c r="J89">
        <v>3</v>
      </c>
    </row>
    <row r="90" spans="1:10" ht="15" customHeight="1" x14ac:dyDescent="0.25">
      <c r="A90" t="s">
        <v>315</v>
      </c>
      <c r="B90" t="s">
        <v>200</v>
      </c>
      <c r="C90" s="9">
        <v>46018</v>
      </c>
      <c r="D90" s="9">
        <v>46032</v>
      </c>
      <c r="E90">
        <v>6</v>
      </c>
      <c r="F90">
        <v>2174</v>
      </c>
      <c r="G90">
        <v>99</v>
      </c>
      <c r="H90" s="10">
        <v>836.56</v>
      </c>
      <c r="I90">
        <v>5.6000000000000001E-2</v>
      </c>
      <c r="J90">
        <v>4</v>
      </c>
    </row>
    <row r="91" spans="1:10" ht="15" customHeight="1" x14ac:dyDescent="0.25">
      <c r="A91" t="s">
        <v>316</v>
      </c>
      <c r="B91" t="s">
        <v>207</v>
      </c>
      <c r="C91" s="9">
        <v>45935</v>
      </c>
      <c r="D91" s="9">
        <v>45941</v>
      </c>
      <c r="E91">
        <v>0</v>
      </c>
      <c r="F91">
        <v>2271</v>
      </c>
      <c r="G91">
        <v>121</v>
      </c>
      <c r="H91" s="10">
        <v>448</v>
      </c>
      <c r="I91">
        <v>1.9E-2</v>
      </c>
      <c r="J91">
        <v>1</v>
      </c>
    </row>
    <row r="92" spans="1:10" ht="15" customHeight="1" x14ac:dyDescent="0.25">
      <c r="A92" t="s">
        <v>317</v>
      </c>
      <c r="B92" t="s">
        <v>183</v>
      </c>
      <c r="C92" s="9">
        <v>45831</v>
      </c>
      <c r="D92" s="9">
        <v>45848</v>
      </c>
      <c r="E92">
        <v>0</v>
      </c>
      <c r="F92">
        <v>1935</v>
      </c>
      <c r="G92">
        <v>62</v>
      </c>
      <c r="H92" s="10">
        <v>778.85</v>
      </c>
      <c r="I92">
        <v>-6.0000000000000001E-3</v>
      </c>
      <c r="J92">
        <v>3</v>
      </c>
    </row>
    <row r="93" spans="1:10" ht="15" customHeight="1" x14ac:dyDescent="0.25">
      <c r="A93" t="s">
        <v>318</v>
      </c>
      <c r="B93" t="s">
        <v>167</v>
      </c>
      <c r="C93" s="9">
        <v>45928</v>
      </c>
      <c r="D93" s="9">
        <v>45940</v>
      </c>
      <c r="E93">
        <v>0</v>
      </c>
      <c r="F93">
        <v>2802</v>
      </c>
      <c r="G93">
        <v>123</v>
      </c>
      <c r="H93" s="10">
        <v>99.72</v>
      </c>
      <c r="I93">
        <v>0.03</v>
      </c>
      <c r="J93">
        <v>1</v>
      </c>
    </row>
    <row r="94" spans="1:10" ht="15" customHeight="1" x14ac:dyDescent="0.25">
      <c r="A94" t="s">
        <v>319</v>
      </c>
      <c r="B94" t="s">
        <v>161</v>
      </c>
      <c r="C94" s="9">
        <v>45849</v>
      </c>
      <c r="D94" s="9">
        <v>45856</v>
      </c>
      <c r="E94">
        <v>1</v>
      </c>
      <c r="F94">
        <v>3858</v>
      </c>
      <c r="G94">
        <v>407</v>
      </c>
      <c r="H94" s="10">
        <v>82.5</v>
      </c>
      <c r="I94">
        <v>-2.8000000000000001E-2</v>
      </c>
      <c r="J94">
        <v>5</v>
      </c>
    </row>
    <row r="95" spans="1:10" ht="15" customHeight="1" x14ac:dyDescent="0.25">
      <c r="A95" t="s">
        <v>320</v>
      </c>
      <c r="B95" t="s">
        <v>201</v>
      </c>
      <c r="C95" s="9">
        <v>45749</v>
      </c>
      <c r="D95" s="9">
        <v>45767</v>
      </c>
      <c r="E95">
        <v>0</v>
      </c>
      <c r="F95">
        <v>3919</v>
      </c>
      <c r="G95">
        <v>441</v>
      </c>
      <c r="H95" s="10">
        <v>135.57</v>
      </c>
      <c r="I95">
        <v>7.4999999999999997E-2</v>
      </c>
      <c r="J95">
        <v>2</v>
      </c>
    </row>
    <row r="96" spans="1:10" ht="15" customHeight="1" x14ac:dyDescent="0.25">
      <c r="A96" t="s">
        <v>321</v>
      </c>
      <c r="B96" t="s">
        <v>214</v>
      </c>
      <c r="C96" s="9">
        <v>46025</v>
      </c>
      <c r="D96" s="9">
        <v>46042</v>
      </c>
      <c r="E96">
        <v>0</v>
      </c>
      <c r="F96">
        <v>1245</v>
      </c>
      <c r="G96">
        <v>55</v>
      </c>
      <c r="H96" s="10">
        <v>315.51</v>
      </c>
      <c r="I96">
        <v>-1.2E-2</v>
      </c>
      <c r="J96">
        <v>2</v>
      </c>
    </row>
    <row r="97" spans="1:10" ht="15" customHeight="1" x14ac:dyDescent="0.25">
      <c r="A97" t="s">
        <v>322</v>
      </c>
      <c r="B97" t="s">
        <v>158</v>
      </c>
      <c r="C97" s="9">
        <v>45837</v>
      </c>
      <c r="D97" s="9">
        <v>45852</v>
      </c>
      <c r="E97">
        <v>0</v>
      </c>
      <c r="F97">
        <v>2564</v>
      </c>
      <c r="G97">
        <v>131</v>
      </c>
      <c r="H97" s="10">
        <v>352.41</v>
      </c>
      <c r="I97">
        <v>2.1000000000000001E-2</v>
      </c>
      <c r="J97">
        <v>1</v>
      </c>
    </row>
    <row r="98" spans="1:10" ht="15" customHeight="1" x14ac:dyDescent="0.25">
      <c r="A98" t="s">
        <v>323</v>
      </c>
      <c r="B98" t="s">
        <v>137</v>
      </c>
      <c r="C98" s="9">
        <v>46041</v>
      </c>
      <c r="D98" s="9">
        <v>46052</v>
      </c>
      <c r="E98">
        <v>3</v>
      </c>
      <c r="F98">
        <v>2026</v>
      </c>
      <c r="G98">
        <v>83</v>
      </c>
      <c r="H98" s="10">
        <v>49.16</v>
      </c>
      <c r="I98">
        <v>4.5999999999999999E-2</v>
      </c>
      <c r="J98">
        <v>4</v>
      </c>
    </row>
    <row r="99" spans="1:10" ht="15" customHeight="1" x14ac:dyDescent="0.25">
      <c r="A99" t="s">
        <v>324</v>
      </c>
      <c r="B99" t="s">
        <v>171</v>
      </c>
      <c r="C99" s="9">
        <v>45883</v>
      </c>
      <c r="D99" s="9">
        <v>45901</v>
      </c>
      <c r="E99">
        <v>0</v>
      </c>
      <c r="F99">
        <v>660</v>
      </c>
      <c r="G99">
        <v>62</v>
      </c>
      <c r="H99" s="10">
        <v>325.45999999999998</v>
      </c>
      <c r="I99">
        <v>4.7E-2</v>
      </c>
      <c r="J99">
        <v>4</v>
      </c>
    </row>
    <row r="100" spans="1:10" ht="15" customHeight="1" x14ac:dyDescent="0.25">
      <c r="A100" t="s">
        <v>325</v>
      </c>
      <c r="B100" t="s">
        <v>164</v>
      </c>
      <c r="C100" s="9">
        <v>46047</v>
      </c>
      <c r="D100" s="9">
        <v>46062</v>
      </c>
      <c r="E100">
        <v>0</v>
      </c>
      <c r="F100">
        <v>3824</v>
      </c>
      <c r="G100">
        <v>41</v>
      </c>
      <c r="H100" s="10">
        <v>644.25</v>
      </c>
      <c r="I100">
        <v>-2.3E-2</v>
      </c>
      <c r="J100">
        <v>4</v>
      </c>
    </row>
    <row r="101" spans="1:10" ht="15" customHeight="1" x14ac:dyDescent="0.25">
      <c r="A101" t="s">
        <v>326</v>
      </c>
      <c r="B101" t="s">
        <v>130</v>
      </c>
      <c r="C101" s="9">
        <v>46073</v>
      </c>
      <c r="D101" s="9">
        <v>46087</v>
      </c>
      <c r="E101">
        <v>0</v>
      </c>
      <c r="F101">
        <v>1492</v>
      </c>
      <c r="G101">
        <v>69</v>
      </c>
      <c r="H101" s="10">
        <v>866.72</v>
      </c>
      <c r="I101">
        <v>-3.6999999999999998E-2</v>
      </c>
      <c r="J101">
        <v>1</v>
      </c>
    </row>
    <row r="102" spans="1:10" ht="15" customHeight="1" x14ac:dyDescent="0.25">
      <c r="A102" t="s">
        <v>327</v>
      </c>
      <c r="B102" t="s">
        <v>152</v>
      </c>
      <c r="C102" s="9">
        <v>45845</v>
      </c>
      <c r="D102" s="9">
        <v>45850</v>
      </c>
      <c r="E102">
        <v>0</v>
      </c>
      <c r="F102">
        <v>220</v>
      </c>
      <c r="G102">
        <v>13</v>
      </c>
      <c r="H102" s="10">
        <v>232.32</v>
      </c>
      <c r="I102">
        <v>3.2000000000000001E-2</v>
      </c>
      <c r="J102">
        <v>4</v>
      </c>
    </row>
    <row r="103" spans="1:10" ht="15" customHeight="1" x14ac:dyDescent="0.25">
      <c r="A103" t="s">
        <v>328</v>
      </c>
      <c r="B103" t="s">
        <v>175</v>
      </c>
      <c r="C103" s="9">
        <v>45792</v>
      </c>
      <c r="D103" s="9">
        <v>45803</v>
      </c>
      <c r="E103">
        <v>0</v>
      </c>
      <c r="F103">
        <v>1936</v>
      </c>
      <c r="G103">
        <v>167</v>
      </c>
      <c r="H103" s="10">
        <v>171.97</v>
      </c>
      <c r="I103">
        <v>7.6999999999999999E-2</v>
      </c>
      <c r="J103">
        <v>2</v>
      </c>
    </row>
    <row r="104" spans="1:10" ht="15" customHeight="1" x14ac:dyDescent="0.25">
      <c r="A104" t="s">
        <v>329</v>
      </c>
      <c r="B104" t="s">
        <v>161</v>
      </c>
      <c r="C104" s="9">
        <v>45953</v>
      </c>
      <c r="D104" s="9">
        <v>45959</v>
      </c>
      <c r="E104">
        <v>0</v>
      </c>
      <c r="F104">
        <v>2944</v>
      </c>
      <c r="G104">
        <v>224</v>
      </c>
      <c r="H104" s="10">
        <v>788.41</v>
      </c>
      <c r="I104">
        <v>1.6E-2</v>
      </c>
      <c r="J104">
        <v>1</v>
      </c>
    </row>
    <row r="105" spans="1:10" ht="15" customHeight="1" x14ac:dyDescent="0.25">
      <c r="A105" t="s">
        <v>330</v>
      </c>
      <c r="B105" t="s">
        <v>140</v>
      </c>
      <c r="C105" s="9">
        <v>45979</v>
      </c>
      <c r="D105" s="9">
        <v>45995</v>
      </c>
      <c r="E105">
        <v>0</v>
      </c>
      <c r="F105">
        <v>3593</v>
      </c>
      <c r="G105">
        <v>14</v>
      </c>
      <c r="H105" s="10">
        <v>591.91999999999996</v>
      </c>
      <c r="I105">
        <v>5.7000000000000002E-2</v>
      </c>
      <c r="J105">
        <v>2</v>
      </c>
    </row>
    <row r="106" spans="1:10" ht="15" customHeight="1" x14ac:dyDescent="0.25">
      <c r="A106" t="s">
        <v>331</v>
      </c>
      <c r="B106" t="s">
        <v>137</v>
      </c>
      <c r="C106" s="9">
        <v>46009</v>
      </c>
      <c r="D106" s="9">
        <v>46016</v>
      </c>
      <c r="E106">
        <v>0</v>
      </c>
      <c r="F106">
        <v>4154</v>
      </c>
      <c r="G106">
        <v>234</v>
      </c>
      <c r="H106" s="10">
        <v>117.62</v>
      </c>
      <c r="I106">
        <v>3.9E-2</v>
      </c>
      <c r="J106">
        <v>2</v>
      </c>
    </row>
    <row r="107" spans="1:10" ht="15" customHeight="1" x14ac:dyDescent="0.25">
      <c r="A107" t="s">
        <v>332</v>
      </c>
      <c r="B107" t="s">
        <v>179</v>
      </c>
      <c r="C107" s="9">
        <v>46037</v>
      </c>
      <c r="D107" s="9">
        <v>46043</v>
      </c>
      <c r="E107">
        <v>0</v>
      </c>
      <c r="F107">
        <v>4155</v>
      </c>
      <c r="G107">
        <v>352</v>
      </c>
      <c r="H107" s="10">
        <v>332.14</v>
      </c>
      <c r="I107">
        <v>7.0000000000000001E-3</v>
      </c>
      <c r="J107">
        <v>3</v>
      </c>
    </row>
    <row r="108" spans="1:10" ht="15" customHeight="1" x14ac:dyDescent="0.25">
      <c r="A108" t="s">
        <v>333</v>
      </c>
      <c r="B108" t="s">
        <v>167</v>
      </c>
      <c r="C108" s="9">
        <v>46049</v>
      </c>
      <c r="D108" s="9">
        <v>46060</v>
      </c>
      <c r="E108">
        <v>0</v>
      </c>
      <c r="F108">
        <v>2719</v>
      </c>
      <c r="G108">
        <v>222</v>
      </c>
      <c r="H108" s="10">
        <v>175.14</v>
      </c>
      <c r="I108">
        <v>5.0999999999999997E-2</v>
      </c>
      <c r="J108">
        <v>1</v>
      </c>
    </row>
    <row r="109" spans="1:10" ht="15" customHeight="1" x14ac:dyDescent="0.25">
      <c r="A109" t="s">
        <v>334</v>
      </c>
      <c r="B109" t="s">
        <v>201</v>
      </c>
      <c r="C109" s="9">
        <v>45922</v>
      </c>
      <c r="D109" s="9">
        <v>45927</v>
      </c>
      <c r="E109">
        <v>0</v>
      </c>
      <c r="F109">
        <v>2328</v>
      </c>
      <c r="G109">
        <v>218</v>
      </c>
      <c r="H109" s="10">
        <v>177.36</v>
      </c>
      <c r="I109">
        <v>3.3000000000000002E-2</v>
      </c>
      <c r="J109">
        <v>4</v>
      </c>
    </row>
    <row r="110" spans="1:10" ht="15" customHeight="1" x14ac:dyDescent="0.25">
      <c r="A110" t="s">
        <v>335</v>
      </c>
      <c r="B110" t="s">
        <v>193</v>
      </c>
      <c r="C110" s="9">
        <v>46067</v>
      </c>
      <c r="D110" s="9">
        <v>46077</v>
      </c>
      <c r="E110">
        <v>0</v>
      </c>
      <c r="F110">
        <v>4736</v>
      </c>
      <c r="G110">
        <v>419</v>
      </c>
      <c r="H110" s="10">
        <v>139.79</v>
      </c>
      <c r="I110">
        <v>6.3E-2</v>
      </c>
      <c r="J110">
        <v>4</v>
      </c>
    </row>
    <row r="111" spans="1:10" ht="15" customHeight="1" x14ac:dyDescent="0.25">
      <c r="A111" t="s">
        <v>336</v>
      </c>
      <c r="B111" t="s">
        <v>191</v>
      </c>
      <c r="C111" s="9">
        <v>45952</v>
      </c>
      <c r="D111" s="9">
        <v>45968</v>
      </c>
      <c r="E111">
        <v>0</v>
      </c>
      <c r="F111">
        <v>501</v>
      </c>
      <c r="G111">
        <v>46</v>
      </c>
      <c r="H111" s="10">
        <v>684.68</v>
      </c>
      <c r="I111">
        <v>-3.7999999999999999E-2</v>
      </c>
      <c r="J111">
        <v>4</v>
      </c>
    </row>
    <row r="112" spans="1:10" ht="15" customHeight="1" x14ac:dyDescent="0.25">
      <c r="A112" t="s">
        <v>337</v>
      </c>
      <c r="B112" t="s">
        <v>176</v>
      </c>
      <c r="C112" s="9">
        <v>46019</v>
      </c>
      <c r="D112" s="9">
        <v>46038</v>
      </c>
      <c r="E112">
        <v>0</v>
      </c>
      <c r="F112">
        <v>1567</v>
      </c>
      <c r="G112">
        <v>4</v>
      </c>
      <c r="H112" s="10">
        <v>717.66</v>
      </c>
      <c r="I112">
        <v>-2.8000000000000001E-2</v>
      </c>
      <c r="J112">
        <v>4</v>
      </c>
    </row>
    <row r="113" spans="1:10" ht="15" customHeight="1" x14ac:dyDescent="0.25">
      <c r="A113" t="s">
        <v>338</v>
      </c>
      <c r="B113" t="s">
        <v>152</v>
      </c>
      <c r="C113" s="9">
        <v>45954</v>
      </c>
      <c r="D113" s="9">
        <v>45963</v>
      </c>
      <c r="E113">
        <v>0</v>
      </c>
      <c r="F113">
        <v>930</v>
      </c>
      <c r="G113">
        <v>56</v>
      </c>
      <c r="H113" s="10">
        <v>315.98</v>
      </c>
      <c r="I113">
        <v>-3.9E-2</v>
      </c>
      <c r="J113">
        <v>4</v>
      </c>
    </row>
    <row r="114" spans="1:10" ht="15" customHeight="1" x14ac:dyDescent="0.25">
      <c r="A114" t="s">
        <v>339</v>
      </c>
      <c r="B114" t="s">
        <v>210</v>
      </c>
      <c r="C114" s="9">
        <v>46029</v>
      </c>
      <c r="D114" s="9">
        <v>46035</v>
      </c>
      <c r="E114">
        <v>0</v>
      </c>
      <c r="F114">
        <v>1631</v>
      </c>
      <c r="G114">
        <v>126</v>
      </c>
      <c r="H114" s="10">
        <v>531.58000000000004</v>
      </c>
      <c r="I114">
        <v>3.3000000000000002E-2</v>
      </c>
      <c r="J114">
        <v>4</v>
      </c>
    </row>
    <row r="115" spans="1:10" ht="15" customHeight="1" x14ac:dyDescent="0.25">
      <c r="A115" t="s">
        <v>340</v>
      </c>
      <c r="B115" t="s">
        <v>199</v>
      </c>
      <c r="C115" s="9">
        <v>45983</v>
      </c>
      <c r="D115" s="9">
        <v>45995</v>
      </c>
      <c r="E115">
        <v>0</v>
      </c>
      <c r="F115">
        <v>2126</v>
      </c>
      <c r="G115">
        <v>83</v>
      </c>
      <c r="H115" s="10">
        <v>195.04</v>
      </c>
      <c r="I115">
        <v>6.5000000000000002E-2</v>
      </c>
      <c r="J115">
        <v>3</v>
      </c>
    </row>
    <row r="116" spans="1:10" ht="15" customHeight="1" x14ac:dyDescent="0.25">
      <c r="A116" t="s">
        <v>341</v>
      </c>
      <c r="B116" t="s">
        <v>207</v>
      </c>
      <c r="C116" s="9">
        <v>45868</v>
      </c>
      <c r="D116" s="9">
        <v>45875</v>
      </c>
      <c r="E116">
        <v>0</v>
      </c>
      <c r="F116">
        <v>799</v>
      </c>
      <c r="G116">
        <v>46</v>
      </c>
      <c r="H116" s="10">
        <v>777.33</v>
      </c>
      <c r="I116">
        <v>-4.5999999999999999E-2</v>
      </c>
      <c r="J116">
        <v>5</v>
      </c>
    </row>
    <row r="117" spans="1:10" ht="15" customHeight="1" x14ac:dyDescent="0.25">
      <c r="A117" t="s">
        <v>342</v>
      </c>
      <c r="B117" t="s">
        <v>201</v>
      </c>
      <c r="C117" s="9">
        <v>46080</v>
      </c>
      <c r="D117" s="9">
        <v>46099</v>
      </c>
      <c r="E117">
        <v>0</v>
      </c>
      <c r="F117">
        <v>3280</v>
      </c>
      <c r="G117">
        <v>301</v>
      </c>
      <c r="H117" s="10">
        <v>834.35</v>
      </c>
      <c r="I117">
        <v>-1E-3</v>
      </c>
      <c r="J117">
        <v>4</v>
      </c>
    </row>
    <row r="118" spans="1:10" ht="15" customHeight="1" x14ac:dyDescent="0.25">
      <c r="A118" t="s">
        <v>343</v>
      </c>
      <c r="B118" t="s">
        <v>133</v>
      </c>
      <c r="C118" s="9">
        <v>46068</v>
      </c>
      <c r="D118" s="9">
        <v>46086</v>
      </c>
      <c r="E118">
        <v>0</v>
      </c>
      <c r="F118">
        <v>3475</v>
      </c>
      <c r="G118">
        <v>103</v>
      </c>
      <c r="H118" s="10">
        <v>487.41</v>
      </c>
      <c r="I118">
        <v>7.4999999999999997E-2</v>
      </c>
      <c r="J118">
        <v>5</v>
      </c>
    </row>
    <row r="119" spans="1:10" ht="15" customHeight="1" x14ac:dyDescent="0.25">
      <c r="A119" t="s">
        <v>344</v>
      </c>
      <c r="B119" t="s">
        <v>140</v>
      </c>
      <c r="C119" s="9">
        <v>45882</v>
      </c>
      <c r="D119" s="9">
        <v>45890</v>
      </c>
      <c r="E119">
        <v>0</v>
      </c>
      <c r="F119">
        <v>270</v>
      </c>
      <c r="G119">
        <v>3</v>
      </c>
      <c r="H119" s="10">
        <v>681.05</v>
      </c>
      <c r="I119">
        <v>4.7E-2</v>
      </c>
      <c r="J119">
        <v>2</v>
      </c>
    </row>
    <row r="120" spans="1:10" ht="15" customHeight="1" x14ac:dyDescent="0.25">
      <c r="A120" t="s">
        <v>345</v>
      </c>
      <c r="B120" t="s">
        <v>207</v>
      </c>
      <c r="C120" s="9">
        <v>45816</v>
      </c>
      <c r="D120" s="9">
        <v>45832</v>
      </c>
      <c r="E120">
        <v>1</v>
      </c>
      <c r="F120">
        <v>3458</v>
      </c>
      <c r="G120">
        <v>179</v>
      </c>
      <c r="H120" s="10">
        <v>521.42999999999995</v>
      </c>
      <c r="I120">
        <v>2.5000000000000001E-2</v>
      </c>
      <c r="J120">
        <v>2</v>
      </c>
    </row>
    <row r="121" spans="1:10" ht="15" customHeight="1" x14ac:dyDescent="0.25">
      <c r="A121" t="s">
        <v>346</v>
      </c>
      <c r="B121" t="s">
        <v>161</v>
      </c>
      <c r="C121" s="9">
        <v>45753</v>
      </c>
      <c r="D121" s="9">
        <v>45769</v>
      </c>
      <c r="E121">
        <v>0</v>
      </c>
      <c r="F121">
        <v>3528</v>
      </c>
      <c r="G121">
        <v>327</v>
      </c>
      <c r="H121" s="10">
        <v>412.06</v>
      </c>
      <c r="I121">
        <v>5.7000000000000002E-2</v>
      </c>
      <c r="J121">
        <v>3</v>
      </c>
    </row>
    <row r="122" spans="1:10" ht="15" customHeight="1" x14ac:dyDescent="0.25">
      <c r="A122" t="s">
        <v>347</v>
      </c>
      <c r="B122" t="s">
        <v>130</v>
      </c>
      <c r="C122" s="9">
        <v>46009</v>
      </c>
      <c r="D122" s="9">
        <v>46015</v>
      </c>
      <c r="E122">
        <v>0</v>
      </c>
      <c r="F122">
        <v>4504</v>
      </c>
      <c r="G122">
        <v>242</v>
      </c>
      <c r="H122" s="10">
        <v>59.91</v>
      </c>
      <c r="I122">
        <v>6.7000000000000004E-2</v>
      </c>
      <c r="J122">
        <v>5</v>
      </c>
    </row>
    <row r="123" spans="1:10" ht="15" customHeight="1" x14ac:dyDescent="0.25">
      <c r="A123" t="s">
        <v>348</v>
      </c>
      <c r="B123" t="s">
        <v>197</v>
      </c>
      <c r="C123" s="9">
        <v>46080</v>
      </c>
      <c r="D123" s="9">
        <v>46094</v>
      </c>
      <c r="E123">
        <v>0</v>
      </c>
      <c r="F123">
        <v>3280</v>
      </c>
      <c r="G123">
        <v>155</v>
      </c>
      <c r="H123" s="10">
        <v>810.03</v>
      </c>
      <c r="I123">
        <v>5.0000000000000001E-3</v>
      </c>
      <c r="J123">
        <v>1</v>
      </c>
    </row>
    <row r="124" spans="1:10" ht="15" customHeight="1" x14ac:dyDescent="0.25">
      <c r="A124" t="s">
        <v>349</v>
      </c>
      <c r="B124" t="s">
        <v>167</v>
      </c>
      <c r="C124" s="9">
        <v>45750</v>
      </c>
      <c r="D124" s="9">
        <v>45755</v>
      </c>
      <c r="E124">
        <v>0</v>
      </c>
      <c r="F124">
        <v>4332</v>
      </c>
      <c r="G124">
        <v>232</v>
      </c>
      <c r="H124" s="10">
        <v>174.81</v>
      </c>
      <c r="I124">
        <v>-8.0000000000000002E-3</v>
      </c>
      <c r="J124">
        <v>3</v>
      </c>
    </row>
    <row r="125" spans="1:10" ht="15" customHeight="1" x14ac:dyDescent="0.25">
      <c r="A125" t="s">
        <v>350</v>
      </c>
      <c r="B125" t="s">
        <v>214</v>
      </c>
      <c r="C125" s="9">
        <v>45848</v>
      </c>
      <c r="D125" s="9">
        <v>45853</v>
      </c>
      <c r="E125">
        <v>0</v>
      </c>
      <c r="F125">
        <v>3231</v>
      </c>
      <c r="G125">
        <v>109</v>
      </c>
      <c r="H125" s="10">
        <v>783.17</v>
      </c>
      <c r="I125">
        <v>2.4E-2</v>
      </c>
      <c r="J125">
        <v>5</v>
      </c>
    </row>
    <row r="126" spans="1:10" ht="15" customHeight="1" x14ac:dyDescent="0.25">
      <c r="A126" t="s">
        <v>351</v>
      </c>
      <c r="B126" t="s">
        <v>133</v>
      </c>
      <c r="C126" s="9">
        <v>46030</v>
      </c>
      <c r="D126" s="9">
        <v>46035</v>
      </c>
      <c r="E126">
        <v>0</v>
      </c>
      <c r="F126">
        <v>4912</v>
      </c>
      <c r="G126">
        <v>74</v>
      </c>
      <c r="H126" s="10">
        <v>77.11</v>
      </c>
      <c r="I126">
        <v>5.7000000000000002E-2</v>
      </c>
      <c r="J126">
        <v>4</v>
      </c>
    </row>
    <row r="127" spans="1:10" ht="15" customHeight="1" x14ac:dyDescent="0.25">
      <c r="A127" t="s">
        <v>352</v>
      </c>
      <c r="B127" t="s">
        <v>193</v>
      </c>
      <c r="C127" s="9">
        <v>45907</v>
      </c>
      <c r="D127" s="9">
        <v>45912</v>
      </c>
      <c r="E127">
        <v>1</v>
      </c>
      <c r="F127">
        <v>1663</v>
      </c>
      <c r="G127">
        <v>118</v>
      </c>
      <c r="H127" s="10">
        <v>797</v>
      </c>
      <c r="I127">
        <v>-1.4999999999999999E-2</v>
      </c>
      <c r="J127">
        <v>5</v>
      </c>
    </row>
    <row r="128" spans="1:10" ht="15" customHeight="1" x14ac:dyDescent="0.25">
      <c r="A128" t="s">
        <v>353</v>
      </c>
      <c r="B128" t="s">
        <v>147</v>
      </c>
      <c r="C128" s="9">
        <v>45941</v>
      </c>
      <c r="D128" s="9">
        <v>45948</v>
      </c>
      <c r="E128">
        <v>0</v>
      </c>
      <c r="F128">
        <v>658</v>
      </c>
      <c r="G128">
        <v>55</v>
      </c>
      <c r="H128" s="10">
        <v>851.45</v>
      </c>
      <c r="I128">
        <v>-1E-3</v>
      </c>
      <c r="J128">
        <v>2</v>
      </c>
    </row>
    <row r="129" spans="1:10" ht="15" customHeight="1" x14ac:dyDescent="0.25">
      <c r="A129" t="s">
        <v>354</v>
      </c>
      <c r="B129" t="s">
        <v>210</v>
      </c>
      <c r="C129" s="9">
        <v>45916</v>
      </c>
      <c r="D129" s="9">
        <v>45934</v>
      </c>
      <c r="E129">
        <v>3</v>
      </c>
      <c r="F129">
        <v>584</v>
      </c>
      <c r="G129">
        <v>60</v>
      </c>
      <c r="H129" s="10">
        <v>822.51</v>
      </c>
      <c r="I129">
        <v>1.6E-2</v>
      </c>
      <c r="J129">
        <v>1</v>
      </c>
    </row>
    <row r="130" spans="1:10" ht="15" customHeight="1" x14ac:dyDescent="0.25">
      <c r="A130" t="s">
        <v>355</v>
      </c>
      <c r="B130" t="s">
        <v>137</v>
      </c>
      <c r="C130" s="9">
        <v>45970</v>
      </c>
      <c r="D130" s="9">
        <v>45985</v>
      </c>
      <c r="E130">
        <v>0</v>
      </c>
      <c r="F130">
        <v>1207</v>
      </c>
      <c r="G130">
        <v>65</v>
      </c>
      <c r="H130" s="10">
        <v>845.18</v>
      </c>
      <c r="I130">
        <v>4.9000000000000002E-2</v>
      </c>
      <c r="J130">
        <v>3</v>
      </c>
    </row>
    <row r="131" spans="1:10" ht="15" customHeight="1" x14ac:dyDescent="0.25">
      <c r="A131" t="s">
        <v>356</v>
      </c>
      <c r="B131" t="s">
        <v>181</v>
      </c>
      <c r="C131" s="9">
        <v>45787</v>
      </c>
      <c r="D131" s="9">
        <v>45797</v>
      </c>
      <c r="E131">
        <v>0</v>
      </c>
      <c r="F131">
        <v>531</v>
      </c>
      <c r="G131">
        <v>32</v>
      </c>
      <c r="H131" s="10">
        <v>414.02</v>
      </c>
      <c r="I131">
        <v>1.2E-2</v>
      </c>
      <c r="J131">
        <v>4</v>
      </c>
    </row>
    <row r="132" spans="1:10" ht="15" customHeight="1" x14ac:dyDescent="0.25">
      <c r="A132" t="s">
        <v>357</v>
      </c>
      <c r="B132" t="s">
        <v>181</v>
      </c>
      <c r="C132" s="9">
        <v>45823</v>
      </c>
      <c r="D132" s="9">
        <v>45835</v>
      </c>
      <c r="E132">
        <v>0</v>
      </c>
      <c r="F132">
        <v>140</v>
      </c>
      <c r="G132">
        <v>7</v>
      </c>
      <c r="H132" s="10">
        <v>140.87</v>
      </c>
      <c r="I132">
        <v>5.2999999999999999E-2</v>
      </c>
      <c r="J132">
        <v>1</v>
      </c>
    </row>
    <row r="133" spans="1:10" ht="15" customHeight="1" x14ac:dyDescent="0.25">
      <c r="A133" t="s">
        <v>358</v>
      </c>
      <c r="B133" t="s">
        <v>137</v>
      </c>
      <c r="C133" s="9">
        <v>45891</v>
      </c>
      <c r="D133" s="9">
        <v>45900</v>
      </c>
      <c r="E133">
        <v>0</v>
      </c>
      <c r="F133">
        <v>361</v>
      </c>
      <c r="G133">
        <v>15</v>
      </c>
      <c r="H133" s="10">
        <v>219.61</v>
      </c>
      <c r="I133">
        <v>7.6999999999999999E-2</v>
      </c>
      <c r="J133">
        <v>2</v>
      </c>
    </row>
    <row r="134" spans="1:10" ht="15" customHeight="1" x14ac:dyDescent="0.25">
      <c r="A134" t="s">
        <v>359</v>
      </c>
      <c r="B134" t="s">
        <v>133</v>
      </c>
      <c r="C134" s="9">
        <v>46014</v>
      </c>
      <c r="D134" s="9">
        <v>46029</v>
      </c>
      <c r="E134">
        <v>0</v>
      </c>
      <c r="F134">
        <v>1671</v>
      </c>
      <c r="G134">
        <v>58</v>
      </c>
      <c r="H134" s="10">
        <v>254.56</v>
      </c>
      <c r="I134">
        <v>-3.7999999999999999E-2</v>
      </c>
      <c r="J134">
        <v>1</v>
      </c>
    </row>
    <row r="135" spans="1:10" ht="15" customHeight="1" x14ac:dyDescent="0.25">
      <c r="A135" t="s">
        <v>360</v>
      </c>
      <c r="B135" t="s">
        <v>199</v>
      </c>
      <c r="C135" s="9">
        <v>45884</v>
      </c>
      <c r="D135" s="9">
        <v>45902</v>
      </c>
      <c r="E135">
        <v>0</v>
      </c>
      <c r="F135">
        <v>825</v>
      </c>
      <c r="G135">
        <v>33</v>
      </c>
      <c r="H135" s="10">
        <v>122.75</v>
      </c>
      <c r="I135">
        <v>4.5999999999999999E-2</v>
      </c>
      <c r="J135">
        <v>1</v>
      </c>
    </row>
    <row r="136" spans="1:10" ht="15" customHeight="1" x14ac:dyDescent="0.25">
      <c r="A136" t="s">
        <v>361</v>
      </c>
      <c r="B136" t="s">
        <v>158</v>
      </c>
      <c r="C136" s="9">
        <v>45932</v>
      </c>
      <c r="D136" s="9">
        <v>45938</v>
      </c>
      <c r="E136">
        <v>0</v>
      </c>
      <c r="F136">
        <v>1229</v>
      </c>
      <c r="G136">
        <v>78</v>
      </c>
      <c r="H136" s="10">
        <v>793.66</v>
      </c>
      <c r="I136">
        <v>-2.1000000000000001E-2</v>
      </c>
      <c r="J136">
        <v>1</v>
      </c>
    </row>
    <row r="137" spans="1:10" ht="15" customHeight="1" x14ac:dyDescent="0.25">
      <c r="A137" t="s">
        <v>362</v>
      </c>
      <c r="B137" t="s">
        <v>205</v>
      </c>
      <c r="C137" s="9">
        <v>45880</v>
      </c>
      <c r="D137" s="9">
        <v>45889</v>
      </c>
      <c r="E137">
        <v>0</v>
      </c>
      <c r="F137">
        <v>3823</v>
      </c>
      <c r="G137">
        <v>59</v>
      </c>
      <c r="H137" s="10">
        <v>789.62</v>
      </c>
      <c r="I137">
        <v>5.0999999999999997E-2</v>
      </c>
      <c r="J137">
        <v>2</v>
      </c>
    </row>
    <row r="138" spans="1:10" ht="15" customHeight="1" x14ac:dyDescent="0.25">
      <c r="A138" t="s">
        <v>363</v>
      </c>
      <c r="B138" t="s">
        <v>155</v>
      </c>
      <c r="C138" s="9">
        <v>46021</v>
      </c>
      <c r="D138" s="9">
        <v>46033</v>
      </c>
      <c r="E138">
        <v>0</v>
      </c>
      <c r="F138">
        <v>3748</v>
      </c>
      <c r="G138">
        <v>358</v>
      </c>
      <c r="H138" s="10">
        <v>458.01</v>
      </c>
      <c r="I138">
        <v>-4.3999999999999997E-2</v>
      </c>
      <c r="J138">
        <v>3</v>
      </c>
    </row>
    <row r="139" spans="1:10" ht="15" customHeight="1" x14ac:dyDescent="0.25">
      <c r="A139" t="s">
        <v>364</v>
      </c>
      <c r="B139" t="s">
        <v>214</v>
      </c>
      <c r="C139" s="9">
        <v>45990</v>
      </c>
      <c r="D139" s="9">
        <v>46007</v>
      </c>
      <c r="E139">
        <v>0</v>
      </c>
      <c r="F139">
        <v>2396</v>
      </c>
      <c r="G139">
        <v>128</v>
      </c>
      <c r="H139" s="10">
        <v>408.51</v>
      </c>
      <c r="I139">
        <v>2.1999999999999999E-2</v>
      </c>
      <c r="J139">
        <v>4</v>
      </c>
    </row>
    <row r="140" spans="1:10" ht="15" customHeight="1" x14ac:dyDescent="0.25">
      <c r="A140" t="s">
        <v>365</v>
      </c>
      <c r="B140" t="s">
        <v>216</v>
      </c>
      <c r="C140" s="9">
        <v>46014</v>
      </c>
      <c r="D140" s="9">
        <v>46020</v>
      </c>
      <c r="E140">
        <v>2</v>
      </c>
      <c r="F140">
        <v>2587</v>
      </c>
      <c r="G140">
        <v>140</v>
      </c>
      <c r="H140" s="10">
        <v>634.63</v>
      </c>
      <c r="I140">
        <v>2.5000000000000001E-2</v>
      </c>
      <c r="J140">
        <v>5</v>
      </c>
    </row>
    <row r="141" spans="1:10" ht="15" customHeight="1" x14ac:dyDescent="0.25">
      <c r="A141" t="s">
        <v>366</v>
      </c>
      <c r="B141" t="s">
        <v>167</v>
      </c>
      <c r="C141" s="9">
        <v>45835</v>
      </c>
      <c r="D141" s="9">
        <v>45840</v>
      </c>
      <c r="E141">
        <v>0</v>
      </c>
      <c r="F141">
        <v>2559</v>
      </c>
      <c r="G141">
        <v>131</v>
      </c>
      <c r="H141" s="10">
        <v>833.21</v>
      </c>
      <c r="I141">
        <v>7.5999999999999998E-2</v>
      </c>
      <c r="J141">
        <v>1</v>
      </c>
    </row>
    <row r="142" spans="1:10" ht="15" customHeight="1" x14ac:dyDescent="0.25">
      <c r="A142" t="s">
        <v>367</v>
      </c>
      <c r="B142" t="s">
        <v>130</v>
      </c>
      <c r="C142" s="9">
        <v>46008</v>
      </c>
      <c r="D142" s="9">
        <v>46018</v>
      </c>
      <c r="E142">
        <v>0</v>
      </c>
      <c r="F142">
        <v>2053</v>
      </c>
      <c r="G142">
        <v>142</v>
      </c>
      <c r="H142" s="10">
        <v>154.62</v>
      </c>
      <c r="I142">
        <v>2.9000000000000001E-2</v>
      </c>
      <c r="J142">
        <v>5</v>
      </c>
    </row>
    <row r="143" spans="1:10" ht="15" customHeight="1" x14ac:dyDescent="0.25">
      <c r="A143" t="s">
        <v>368</v>
      </c>
      <c r="B143" t="s">
        <v>171</v>
      </c>
      <c r="C143" s="9">
        <v>45915</v>
      </c>
      <c r="D143" s="9">
        <v>45921</v>
      </c>
      <c r="E143">
        <v>0</v>
      </c>
      <c r="F143">
        <v>1364</v>
      </c>
      <c r="G143">
        <v>118</v>
      </c>
      <c r="H143" s="10">
        <v>415.33</v>
      </c>
      <c r="I143">
        <v>5.7000000000000002E-2</v>
      </c>
      <c r="J143">
        <v>5</v>
      </c>
    </row>
    <row r="144" spans="1:10" ht="15" customHeight="1" x14ac:dyDescent="0.25">
      <c r="A144" t="s">
        <v>369</v>
      </c>
      <c r="B144" t="s">
        <v>128</v>
      </c>
      <c r="C144" s="9">
        <v>45833</v>
      </c>
      <c r="D144" s="9">
        <v>45850</v>
      </c>
      <c r="E144">
        <v>0</v>
      </c>
      <c r="F144">
        <v>323</v>
      </c>
      <c r="G144">
        <v>22</v>
      </c>
      <c r="H144" s="10">
        <v>515.88</v>
      </c>
      <c r="I144">
        <v>5.7000000000000002E-2</v>
      </c>
      <c r="J144">
        <v>2</v>
      </c>
    </row>
    <row r="145" spans="1:10" ht="15" customHeight="1" x14ac:dyDescent="0.25">
      <c r="A145" t="s">
        <v>370</v>
      </c>
      <c r="B145" t="s">
        <v>193</v>
      </c>
      <c r="C145" s="9">
        <v>45880</v>
      </c>
      <c r="D145" s="9">
        <v>45886</v>
      </c>
      <c r="E145">
        <v>0</v>
      </c>
      <c r="F145">
        <v>3432</v>
      </c>
      <c r="G145">
        <v>322</v>
      </c>
      <c r="H145" s="10">
        <v>800.06</v>
      </c>
      <c r="I145">
        <v>-3.7999999999999999E-2</v>
      </c>
      <c r="J145">
        <v>5</v>
      </c>
    </row>
    <row r="146" spans="1:10" ht="15" customHeight="1" x14ac:dyDescent="0.25">
      <c r="A146" t="s">
        <v>371</v>
      </c>
      <c r="B146" t="s">
        <v>207</v>
      </c>
      <c r="C146" s="9">
        <v>45819</v>
      </c>
      <c r="D146" s="9">
        <v>45826</v>
      </c>
      <c r="E146">
        <v>0</v>
      </c>
      <c r="F146">
        <v>979</v>
      </c>
      <c r="G146">
        <v>51</v>
      </c>
      <c r="H146" s="10">
        <v>250.81</v>
      </c>
      <c r="I146">
        <v>4.2999999999999997E-2</v>
      </c>
      <c r="J146">
        <v>3</v>
      </c>
    </row>
    <row r="147" spans="1:10" ht="15" customHeight="1" x14ac:dyDescent="0.25">
      <c r="A147" t="s">
        <v>372</v>
      </c>
      <c r="B147" t="s">
        <v>143</v>
      </c>
      <c r="C147" s="9">
        <v>45860</v>
      </c>
      <c r="D147" s="9">
        <v>45880</v>
      </c>
      <c r="E147">
        <v>0</v>
      </c>
      <c r="F147">
        <v>3852</v>
      </c>
      <c r="G147">
        <v>356</v>
      </c>
      <c r="H147" s="10">
        <v>20.7</v>
      </c>
      <c r="I147">
        <v>4.2000000000000003E-2</v>
      </c>
      <c r="J147">
        <v>2</v>
      </c>
    </row>
    <row r="148" spans="1:10" ht="15" customHeight="1" x14ac:dyDescent="0.25">
      <c r="A148" t="s">
        <v>373</v>
      </c>
      <c r="B148" t="s">
        <v>186</v>
      </c>
      <c r="C148" s="9">
        <v>45800</v>
      </c>
      <c r="D148" s="9">
        <v>45805</v>
      </c>
      <c r="E148">
        <v>0</v>
      </c>
      <c r="F148">
        <v>1664</v>
      </c>
      <c r="G148">
        <v>193</v>
      </c>
      <c r="H148" s="10">
        <v>711.65</v>
      </c>
      <c r="I148">
        <v>4.3999999999999997E-2</v>
      </c>
      <c r="J148">
        <v>3</v>
      </c>
    </row>
    <row r="149" spans="1:10" ht="15" customHeight="1" x14ac:dyDescent="0.25">
      <c r="A149" t="s">
        <v>374</v>
      </c>
      <c r="B149" t="s">
        <v>179</v>
      </c>
      <c r="C149" s="9">
        <v>45879</v>
      </c>
      <c r="D149" s="9">
        <v>45898</v>
      </c>
      <c r="E149">
        <v>0</v>
      </c>
      <c r="F149">
        <v>875</v>
      </c>
      <c r="G149">
        <v>72</v>
      </c>
      <c r="H149" s="10">
        <v>546.58000000000004</v>
      </c>
      <c r="I149">
        <v>2.7E-2</v>
      </c>
      <c r="J149">
        <v>1</v>
      </c>
    </row>
    <row r="150" spans="1:10" ht="15" customHeight="1" x14ac:dyDescent="0.25">
      <c r="A150" t="s">
        <v>375</v>
      </c>
      <c r="B150" t="s">
        <v>164</v>
      </c>
      <c r="C150" s="9">
        <v>45861</v>
      </c>
      <c r="D150" s="9">
        <v>45875</v>
      </c>
      <c r="E150">
        <v>0</v>
      </c>
      <c r="F150">
        <v>4543</v>
      </c>
      <c r="G150">
        <v>128</v>
      </c>
      <c r="H150" s="10">
        <v>321.27999999999997</v>
      </c>
      <c r="I150">
        <v>7.9000000000000001E-2</v>
      </c>
      <c r="J150">
        <v>2</v>
      </c>
    </row>
    <row r="151" spans="1:10" ht="15" customHeight="1" x14ac:dyDescent="0.25">
      <c r="A151" t="s">
        <v>376</v>
      </c>
      <c r="B151" t="s">
        <v>210</v>
      </c>
      <c r="C151" s="9">
        <v>45753</v>
      </c>
      <c r="D151" s="9">
        <v>45762</v>
      </c>
      <c r="E151">
        <v>0</v>
      </c>
      <c r="F151">
        <v>655</v>
      </c>
      <c r="G151">
        <v>61</v>
      </c>
      <c r="H151" s="10">
        <v>441.06</v>
      </c>
      <c r="I151">
        <v>1.2E-2</v>
      </c>
      <c r="J151">
        <v>3</v>
      </c>
    </row>
    <row r="152" spans="1:10" ht="15" customHeight="1" x14ac:dyDescent="0.25">
      <c r="A152" t="s">
        <v>377</v>
      </c>
      <c r="B152" t="s">
        <v>186</v>
      </c>
      <c r="C152" s="9">
        <v>45809</v>
      </c>
      <c r="D152" s="9">
        <v>45815</v>
      </c>
      <c r="E152">
        <v>0</v>
      </c>
      <c r="F152">
        <v>4305</v>
      </c>
      <c r="G152">
        <v>401</v>
      </c>
      <c r="H152" s="10">
        <v>358.1</v>
      </c>
      <c r="I152">
        <v>1.0999999999999999E-2</v>
      </c>
      <c r="J152">
        <v>4</v>
      </c>
    </row>
    <row r="153" spans="1:10" ht="15" customHeight="1" x14ac:dyDescent="0.25">
      <c r="A153" t="s">
        <v>378</v>
      </c>
      <c r="B153" t="s">
        <v>181</v>
      </c>
      <c r="C153" s="9">
        <v>45757</v>
      </c>
      <c r="D153" s="9">
        <v>45776</v>
      </c>
      <c r="E153">
        <v>0</v>
      </c>
      <c r="F153">
        <v>153</v>
      </c>
      <c r="G153">
        <v>7</v>
      </c>
      <c r="H153" s="10">
        <v>423.56</v>
      </c>
      <c r="I153">
        <v>1.2999999999999999E-2</v>
      </c>
      <c r="J153">
        <v>5</v>
      </c>
    </row>
    <row r="154" spans="1:10" ht="15" customHeight="1" x14ac:dyDescent="0.25">
      <c r="A154" t="s">
        <v>379</v>
      </c>
      <c r="B154" t="s">
        <v>189</v>
      </c>
      <c r="C154" s="9">
        <v>46010</v>
      </c>
      <c r="D154" s="9">
        <v>46021</v>
      </c>
      <c r="E154">
        <v>0</v>
      </c>
      <c r="F154">
        <v>2181</v>
      </c>
      <c r="G154">
        <v>115</v>
      </c>
      <c r="H154" s="10">
        <v>58.31</v>
      </c>
      <c r="I154">
        <v>1.0999999999999999E-2</v>
      </c>
      <c r="J154">
        <v>2</v>
      </c>
    </row>
    <row r="155" spans="1:10" ht="15" customHeight="1" x14ac:dyDescent="0.25">
      <c r="A155" t="s">
        <v>380</v>
      </c>
      <c r="B155" t="s">
        <v>181</v>
      </c>
      <c r="C155" s="9">
        <v>45916</v>
      </c>
      <c r="D155" s="9">
        <v>45921</v>
      </c>
      <c r="E155">
        <v>0</v>
      </c>
      <c r="F155">
        <v>1204</v>
      </c>
      <c r="G155">
        <v>90</v>
      </c>
      <c r="H155" s="10">
        <v>523.9</v>
      </c>
      <c r="I155">
        <v>-0.01</v>
      </c>
      <c r="J155">
        <v>3</v>
      </c>
    </row>
    <row r="156" spans="1:10" ht="15" customHeight="1" x14ac:dyDescent="0.25">
      <c r="A156" t="s">
        <v>381</v>
      </c>
      <c r="B156" t="s">
        <v>189</v>
      </c>
      <c r="C156" s="9">
        <v>45757</v>
      </c>
      <c r="D156" s="9">
        <v>45768</v>
      </c>
      <c r="E156">
        <v>0</v>
      </c>
      <c r="F156">
        <v>2239</v>
      </c>
      <c r="G156">
        <v>66</v>
      </c>
      <c r="H156" s="10">
        <v>642.48</v>
      </c>
      <c r="I156">
        <v>5.6000000000000001E-2</v>
      </c>
      <c r="J156">
        <v>1</v>
      </c>
    </row>
    <row r="157" spans="1:10" ht="15" customHeight="1" x14ac:dyDescent="0.25">
      <c r="A157" t="s">
        <v>382</v>
      </c>
      <c r="B157" t="s">
        <v>183</v>
      </c>
      <c r="C157" s="9">
        <v>45814</v>
      </c>
      <c r="D157" s="9">
        <v>45820</v>
      </c>
      <c r="E157">
        <v>0</v>
      </c>
      <c r="F157">
        <v>2580</v>
      </c>
      <c r="G157">
        <v>102</v>
      </c>
      <c r="H157" s="10">
        <v>462.49</v>
      </c>
      <c r="I157">
        <v>-3.5000000000000003E-2</v>
      </c>
      <c r="J157">
        <v>3</v>
      </c>
    </row>
    <row r="158" spans="1:10" ht="15" customHeight="1" x14ac:dyDescent="0.25">
      <c r="A158" t="s">
        <v>383</v>
      </c>
      <c r="B158" t="s">
        <v>208</v>
      </c>
      <c r="C158" s="9">
        <v>45926</v>
      </c>
      <c r="D158" s="9">
        <v>45936</v>
      </c>
      <c r="E158">
        <v>0</v>
      </c>
      <c r="F158">
        <v>4887</v>
      </c>
      <c r="G158">
        <v>410</v>
      </c>
      <c r="H158" s="10">
        <v>622.6</v>
      </c>
      <c r="I158">
        <v>-4.8000000000000001E-2</v>
      </c>
      <c r="J158">
        <v>2</v>
      </c>
    </row>
    <row r="159" spans="1:10" ht="15" customHeight="1" x14ac:dyDescent="0.25">
      <c r="A159" t="s">
        <v>384</v>
      </c>
      <c r="B159" t="s">
        <v>201</v>
      </c>
      <c r="C159" s="9">
        <v>45981</v>
      </c>
      <c r="D159" s="9">
        <v>45995</v>
      </c>
      <c r="E159">
        <v>0</v>
      </c>
      <c r="F159">
        <v>794</v>
      </c>
      <c r="G159">
        <v>75</v>
      </c>
      <c r="H159" s="10">
        <v>316.54000000000002</v>
      </c>
      <c r="I159">
        <v>1.6E-2</v>
      </c>
      <c r="J159">
        <v>5</v>
      </c>
    </row>
    <row r="160" spans="1:10" ht="15" customHeight="1" x14ac:dyDescent="0.25">
      <c r="A160" t="s">
        <v>385</v>
      </c>
      <c r="B160" t="s">
        <v>214</v>
      </c>
      <c r="C160" s="9">
        <v>45910</v>
      </c>
      <c r="D160" s="9">
        <v>45927</v>
      </c>
      <c r="E160">
        <v>0</v>
      </c>
      <c r="F160">
        <v>2016</v>
      </c>
      <c r="G160">
        <v>93</v>
      </c>
      <c r="H160" s="10">
        <v>395.84</v>
      </c>
      <c r="I160">
        <v>4.3999999999999997E-2</v>
      </c>
      <c r="J160">
        <v>3</v>
      </c>
    </row>
    <row r="161" spans="1:10" ht="15" customHeight="1" x14ac:dyDescent="0.25">
      <c r="A161" t="s">
        <v>386</v>
      </c>
      <c r="B161" t="s">
        <v>137</v>
      </c>
      <c r="C161" s="9">
        <v>45816</v>
      </c>
      <c r="D161" s="9">
        <v>45831</v>
      </c>
      <c r="E161">
        <v>0</v>
      </c>
      <c r="F161">
        <v>330</v>
      </c>
      <c r="G161">
        <v>12</v>
      </c>
      <c r="H161" s="10">
        <v>456.86</v>
      </c>
      <c r="I161">
        <v>7.0000000000000007E-2</v>
      </c>
      <c r="J161">
        <v>4</v>
      </c>
    </row>
    <row r="162" spans="1:10" ht="15" customHeight="1" x14ac:dyDescent="0.25">
      <c r="A162" t="s">
        <v>387</v>
      </c>
      <c r="B162" t="s">
        <v>181</v>
      </c>
      <c r="C162" s="9">
        <v>45949</v>
      </c>
      <c r="D162" s="9">
        <v>45962</v>
      </c>
      <c r="E162">
        <v>0</v>
      </c>
      <c r="F162">
        <v>1483</v>
      </c>
      <c r="G162">
        <v>86</v>
      </c>
      <c r="H162" s="10">
        <v>640.65</v>
      </c>
      <c r="I162">
        <v>-3.1E-2</v>
      </c>
      <c r="J162">
        <v>3</v>
      </c>
    </row>
    <row r="163" spans="1:10" ht="15" customHeight="1" x14ac:dyDescent="0.25">
      <c r="A163" t="s">
        <v>388</v>
      </c>
      <c r="B163" t="s">
        <v>197</v>
      </c>
      <c r="C163" s="9">
        <v>45920</v>
      </c>
      <c r="D163" s="9">
        <v>45938</v>
      </c>
      <c r="E163">
        <v>0</v>
      </c>
      <c r="F163">
        <v>1685</v>
      </c>
      <c r="G163">
        <v>81</v>
      </c>
      <c r="H163" s="10">
        <v>709.09</v>
      </c>
      <c r="I163">
        <v>0.08</v>
      </c>
      <c r="J163">
        <v>3</v>
      </c>
    </row>
    <row r="164" spans="1:10" ht="15" customHeight="1" x14ac:dyDescent="0.25">
      <c r="A164" t="s">
        <v>389</v>
      </c>
      <c r="B164" t="s">
        <v>155</v>
      </c>
      <c r="C164" s="9">
        <v>45944</v>
      </c>
      <c r="D164" s="9">
        <v>45957</v>
      </c>
      <c r="E164">
        <v>0</v>
      </c>
      <c r="F164">
        <v>750</v>
      </c>
      <c r="G164">
        <v>56</v>
      </c>
      <c r="H164" s="10">
        <v>336.91</v>
      </c>
      <c r="I164">
        <v>3.1E-2</v>
      </c>
      <c r="J164">
        <v>4</v>
      </c>
    </row>
    <row r="165" spans="1:10" ht="15" customHeight="1" x14ac:dyDescent="0.25">
      <c r="A165" t="s">
        <v>390</v>
      </c>
      <c r="B165" t="s">
        <v>137</v>
      </c>
      <c r="C165" s="9">
        <v>45943</v>
      </c>
      <c r="D165" s="9">
        <v>45953</v>
      </c>
      <c r="E165">
        <v>0</v>
      </c>
      <c r="F165">
        <v>1771</v>
      </c>
      <c r="G165">
        <v>88</v>
      </c>
      <c r="H165" s="10">
        <v>367.51</v>
      </c>
      <c r="I165">
        <v>1.4999999999999999E-2</v>
      </c>
      <c r="J165">
        <v>2</v>
      </c>
    </row>
    <row r="166" spans="1:10" ht="15" customHeight="1" x14ac:dyDescent="0.25">
      <c r="A166" t="s">
        <v>391</v>
      </c>
      <c r="B166" t="s">
        <v>147</v>
      </c>
      <c r="C166" s="9">
        <v>45934</v>
      </c>
      <c r="D166" s="9">
        <v>45940</v>
      </c>
      <c r="E166">
        <v>0</v>
      </c>
      <c r="F166">
        <v>4236</v>
      </c>
      <c r="G166">
        <v>410</v>
      </c>
      <c r="H166" s="10">
        <v>674.57</v>
      </c>
      <c r="I166">
        <v>-1.4999999999999999E-2</v>
      </c>
      <c r="J166">
        <v>5</v>
      </c>
    </row>
    <row r="167" spans="1:10" ht="15" customHeight="1" x14ac:dyDescent="0.25">
      <c r="A167" t="s">
        <v>392</v>
      </c>
      <c r="B167" t="s">
        <v>122</v>
      </c>
      <c r="C167" s="9">
        <v>45779</v>
      </c>
      <c r="D167" s="9">
        <v>45785</v>
      </c>
      <c r="E167">
        <v>0</v>
      </c>
      <c r="F167">
        <v>2331</v>
      </c>
      <c r="G167">
        <v>154</v>
      </c>
      <c r="H167" s="10">
        <v>353.04</v>
      </c>
      <c r="I167">
        <v>4.5999999999999999E-2</v>
      </c>
      <c r="J167">
        <v>5</v>
      </c>
    </row>
    <row r="168" spans="1:10" ht="15" customHeight="1" x14ac:dyDescent="0.25">
      <c r="A168" t="s">
        <v>393</v>
      </c>
      <c r="B168" t="s">
        <v>130</v>
      </c>
      <c r="C168" s="9">
        <v>45945</v>
      </c>
      <c r="D168" s="9">
        <v>45961</v>
      </c>
      <c r="E168">
        <v>0</v>
      </c>
      <c r="F168">
        <v>1093</v>
      </c>
      <c r="G168">
        <v>58</v>
      </c>
      <c r="H168" s="10">
        <v>401.42</v>
      </c>
      <c r="I168">
        <v>5.6000000000000001E-2</v>
      </c>
      <c r="J168">
        <v>4</v>
      </c>
    </row>
    <row r="169" spans="1:10" ht="15" customHeight="1" x14ac:dyDescent="0.25">
      <c r="A169" t="s">
        <v>394</v>
      </c>
      <c r="B169" t="s">
        <v>181</v>
      </c>
      <c r="C169" s="9">
        <v>46063</v>
      </c>
      <c r="D169" s="9">
        <v>46082</v>
      </c>
      <c r="E169">
        <v>0</v>
      </c>
      <c r="F169">
        <v>3104</v>
      </c>
      <c r="G169">
        <v>151</v>
      </c>
      <c r="H169" s="10">
        <v>193.49</v>
      </c>
      <c r="I169">
        <v>-3.6999999999999998E-2</v>
      </c>
      <c r="J169">
        <v>3</v>
      </c>
    </row>
    <row r="170" spans="1:10" ht="15" customHeight="1" x14ac:dyDescent="0.25">
      <c r="A170" t="s">
        <v>395</v>
      </c>
      <c r="B170" t="s">
        <v>128</v>
      </c>
      <c r="C170" s="9">
        <v>46020</v>
      </c>
      <c r="D170" s="9">
        <v>46036</v>
      </c>
      <c r="E170">
        <v>0</v>
      </c>
      <c r="F170">
        <v>2604</v>
      </c>
      <c r="G170">
        <v>161</v>
      </c>
      <c r="H170" s="10">
        <v>727.56</v>
      </c>
      <c r="I170">
        <v>1.0999999999999999E-2</v>
      </c>
      <c r="J170">
        <v>5</v>
      </c>
    </row>
    <row r="171" spans="1:10" ht="15" customHeight="1" x14ac:dyDescent="0.25">
      <c r="A171" t="s">
        <v>396</v>
      </c>
      <c r="B171" t="s">
        <v>179</v>
      </c>
      <c r="C171" s="9">
        <v>45884</v>
      </c>
      <c r="D171" s="9">
        <v>45892</v>
      </c>
      <c r="E171">
        <v>0</v>
      </c>
      <c r="F171">
        <v>896</v>
      </c>
      <c r="G171">
        <v>87</v>
      </c>
      <c r="H171" s="10">
        <v>387.68</v>
      </c>
      <c r="I171">
        <v>-0.03</v>
      </c>
      <c r="J171">
        <v>4</v>
      </c>
    </row>
    <row r="172" spans="1:10" ht="15" customHeight="1" x14ac:dyDescent="0.25">
      <c r="A172" t="s">
        <v>397</v>
      </c>
      <c r="B172" t="s">
        <v>140</v>
      </c>
      <c r="C172" s="9">
        <v>46037</v>
      </c>
      <c r="D172" s="9">
        <v>46048</v>
      </c>
      <c r="E172">
        <v>0</v>
      </c>
      <c r="F172">
        <v>405</v>
      </c>
      <c r="G172">
        <v>9</v>
      </c>
      <c r="H172" s="10">
        <v>58.88</v>
      </c>
      <c r="I172">
        <v>5.7000000000000002E-2</v>
      </c>
      <c r="J172">
        <v>3</v>
      </c>
    </row>
    <row r="173" spans="1:10" ht="15" customHeight="1" x14ac:dyDescent="0.25">
      <c r="A173" t="s">
        <v>398</v>
      </c>
      <c r="B173" t="s">
        <v>169</v>
      </c>
      <c r="C173" s="9">
        <v>45821</v>
      </c>
      <c r="D173" s="9">
        <v>45826</v>
      </c>
      <c r="E173">
        <v>0</v>
      </c>
      <c r="F173">
        <v>4600</v>
      </c>
      <c r="G173">
        <v>364</v>
      </c>
      <c r="H173" s="10">
        <v>563.38</v>
      </c>
      <c r="I173">
        <v>-2.1999999999999999E-2</v>
      </c>
      <c r="J173">
        <v>4</v>
      </c>
    </row>
    <row r="174" spans="1:10" ht="15" customHeight="1" x14ac:dyDescent="0.25">
      <c r="A174" t="s">
        <v>399</v>
      </c>
      <c r="B174" t="s">
        <v>158</v>
      </c>
      <c r="C174" s="9">
        <v>45756</v>
      </c>
      <c r="D174" s="9">
        <v>45776</v>
      </c>
      <c r="E174">
        <v>0</v>
      </c>
      <c r="F174">
        <v>1038</v>
      </c>
      <c r="G174">
        <v>66</v>
      </c>
      <c r="H174" s="10">
        <v>274.97000000000003</v>
      </c>
      <c r="I174">
        <v>2.8000000000000001E-2</v>
      </c>
      <c r="J174">
        <v>1</v>
      </c>
    </row>
    <row r="175" spans="1:10" ht="15" customHeight="1" x14ac:dyDescent="0.25">
      <c r="A175" t="s">
        <v>400</v>
      </c>
      <c r="B175" t="s">
        <v>155</v>
      </c>
      <c r="C175" s="9">
        <v>45945</v>
      </c>
      <c r="D175" s="9">
        <v>45957</v>
      </c>
      <c r="E175">
        <v>0</v>
      </c>
      <c r="F175">
        <v>742</v>
      </c>
      <c r="G175">
        <v>79</v>
      </c>
      <c r="H175" s="10">
        <v>360.87</v>
      </c>
      <c r="I175">
        <v>4.2999999999999997E-2</v>
      </c>
      <c r="J175">
        <v>2</v>
      </c>
    </row>
    <row r="176" spans="1:10" ht="15" customHeight="1" x14ac:dyDescent="0.25">
      <c r="A176" t="s">
        <v>401</v>
      </c>
      <c r="B176" t="s">
        <v>186</v>
      </c>
      <c r="C176" s="9">
        <v>45984</v>
      </c>
      <c r="D176" s="9">
        <v>45991</v>
      </c>
      <c r="E176">
        <v>0</v>
      </c>
      <c r="F176">
        <v>2220</v>
      </c>
      <c r="G176">
        <v>213</v>
      </c>
      <c r="H176" s="10">
        <v>78.8</v>
      </c>
      <c r="I176">
        <v>-1.7999999999999999E-2</v>
      </c>
      <c r="J176">
        <v>3</v>
      </c>
    </row>
    <row r="177" spans="1:10" ht="15" customHeight="1" x14ac:dyDescent="0.25">
      <c r="A177" t="s">
        <v>402</v>
      </c>
      <c r="B177" t="s">
        <v>199</v>
      </c>
      <c r="C177" s="9">
        <v>45814</v>
      </c>
      <c r="D177" s="9">
        <v>45833</v>
      </c>
      <c r="E177">
        <v>0</v>
      </c>
      <c r="F177">
        <v>178</v>
      </c>
      <c r="G177">
        <v>6</v>
      </c>
      <c r="H177" s="10">
        <v>138.84</v>
      </c>
      <c r="I177">
        <v>6.6000000000000003E-2</v>
      </c>
      <c r="J177">
        <v>1</v>
      </c>
    </row>
    <row r="178" spans="1:10" ht="15" customHeight="1" x14ac:dyDescent="0.25">
      <c r="A178" t="s">
        <v>403</v>
      </c>
      <c r="B178" t="s">
        <v>193</v>
      </c>
      <c r="C178" s="9">
        <v>45985</v>
      </c>
      <c r="D178" s="9">
        <v>46004</v>
      </c>
      <c r="E178">
        <v>0</v>
      </c>
      <c r="F178">
        <v>1259</v>
      </c>
      <c r="G178">
        <v>100</v>
      </c>
      <c r="H178" s="10">
        <v>841.57</v>
      </c>
      <c r="I178">
        <v>-1.0999999999999999E-2</v>
      </c>
      <c r="J178">
        <v>1</v>
      </c>
    </row>
    <row r="179" spans="1:10" ht="15" customHeight="1" x14ac:dyDescent="0.25">
      <c r="A179" t="s">
        <v>404</v>
      </c>
      <c r="B179" t="s">
        <v>133</v>
      </c>
      <c r="C179" s="9">
        <v>46018</v>
      </c>
      <c r="D179" s="9">
        <v>46034</v>
      </c>
      <c r="E179">
        <v>0</v>
      </c>
      <c r="F179">
        <v>4654</v>
      </c>
      <c r="G179">
        <v>88</v>
      </c>
      <c r="H179" s="10">
        <v>623.71</v>
      </c>
      <c r="I179">
        <v>1.0999999999999999E-2</v>
      </c>
      <c r="J179">
        <v>5</v>
      </c>
    </row>
    <row r="180" spans="1:10" ht="15" customHeight="1" x14ac:dyDescent="0.25">
      <c r="A180" t="s">
        <v>405</v>
      </c>
      <c r="B180" t="s">
        <v>137</v>
      </c>
      <c r="C180" s="9">
        <v>45963</v>
      </c>
      <c r="D180" s="9">
        <v>45968</v>
      </c>
      <c r="E180">
        <v>0</v>
      </c>
      <c r="F180">
        <v>646</v>
      </c>
      <c r="G180">
        <v>41</v>
      </c>
      <c r="H180" s="10">
        <v>523.25</v>
      </c>
      <c r="I180">
        <v>7.1999999999999995E-2</v>
      </c>
      <c r="J180">
        <v>4</v>
      </c>
    </row>
    <row r="181" spans="1:10" ht="15" customHeight="1" x14ac:dyDescent="0.25">
      <c r="A181" t="s">
        <v>406</v>
      </c>
      <c r="B181" t="s">
        <v>193</v>
      </c>
      <c r="C181" s="9">
        <v>46073</v>
      </c>
      <c r="D181" s="9">
        <v>46090</v>
      </c>
      <c r="E181">
        <v>0</v>
      </c>
      <c r="F181">
        <v>799</v>
      </c>
      <c r="G181">
        <v>77</v>
      </c>
      <c r="H181" s="10">
        <v>770.35</v>
      </c>
      <c r="I181">
        <v>4.1000000000000002E-2</v>
      </c>
      <c r="J181">
        <v>5</v>
      </c>
    </row>
    <row r="182" spans="1:10" ht="15" customHeight="1" x14ac:dyDescent="0.25">
      <c r="A182" t="s">
        <v>407</v>
      </c>
      <c r="B182" t="s">
        <v>167</v>
      </c>
      <c r="C182" s="9">
        <v>45836</v>
      </c>
      <c r="D182" s="9">
        <v>45844</v>
      </c>
      <c r="E182">
        <v>6</v>
      </c>
      <c r="F182">
        <v>1155</v>
      </c>
      <c r="G182">
        <v>57</v>
      </c>
      <c r="H182" s="10">
        <v>780.41</v>
      </c>
      <c r="I182">
        <v>6.5000000000000002E-2</v>
      </c>
      <c r="J182">
        <v>1</v>
      </c>
    </row>
    <row r="183" spans="1:10" ht="15" customHeight="1" x14ac:dyDescent="0.25">
      <c r="A183" t="s">
        <v>408</v>
      </c>
      <c r="B183" t="s">
        <v>161</v>
      </c>
      <c r="C183" s="9">
        <v>46061</v>
      </c>
      <c r="D183" s="9">
        <v>46079</v>
      </c>
      <c r="E183">
        <v>0</v>
      </c>
      <c r="F183">
        <v>2702</v>
      </c>
      <c r="G183">
        <v>294</v>
      </c>
      <c r="H183" s="10">
        <v>92.44</v>
      </c>
      <c r="I183">
        <v>-1.6E-2</v>
      </c>
      <c r="J183">
        <v>2</v>
      </c>
    </row>
    <row r="184" spans="1:10" ht="15" customHeight="1" x14ac:dyDescent="0.25">
      <c r="A184" t="s">
        <v>409</v>
      </c>
      <c r="B184" t="s">
        <v>186</v>
      </c>
      <c r="C184" s="9">
        <v>45794</v>
      </c>
      <c r="D184" s="9">
        <v>45804</v>
      </c>
      <c r="E184">
        <v>0</v>
      </c>
      <c r="F184">
        <v>2815</v>
      </c>
      <c r="G184">
        <v>236</v>
      </c>
      <c r="H184" s="10">
        <v>712.61</v>
      </c>
      <c r="I184">
        <v>-5.0000000000000001E-3</v>
      </c>
      <c r="J184">
        <v>3</v>
      </c>
    </row>
    <row r="185" spans="1:10" ht="15" customHeight="1" x14ac:dyDescent="0.25">
      <c r="A185" t="s">
        <v>410</v>
      </c>
      <c r="B185" t="s">
        <v>210</v>
      </c>
      <c r="C185" s="9">
        <v>45982</v>
      </c>
      <c r="D185" s="9">
        <v>45996</v>
      </c>
      <c r="E185">
        <v>0</v>
      </c>
      <c r="F185">
        <v>1685</v>
      </c>
      <c r="G185">
        <v>153</v>
      </c>
      <c r="H185" s="10">
        <v>261.05</v>
      </c>
      <c r="I185">
        <v>3.9E-2</v>
      </c>
      <c r="J185">
        <v>4</v>
      </c>
    </row>
    <row r="186" spans="1:10" ht="15" customHeight="1" x14ac:dyDescent="0.25">
      <c r="A186" t="s">
        <v>411</v>
      </c>
      <c r="B186" t="s">
        <v>200</v>
      </c>
      <c r="C186" s="9">
        <v>45911</v>
      </c>
      <c r="D186" s="9">
        <v>45928</v>
      </c>
      <c r="E186">
        <v>0</v>
      </c>
      <c r="F186">
        <v>2133</v>
      </c>
      <c r="G186">
        <v>134</v>
      </c>
      <c r="H186" s="10">
        <v>349.21</v>
      </c>
      <c r="I186">
        <v>0.04</v>
      </c>
      <c r="J186">
        <v>2</v>
      </c>
    </row>
    <row r="187" spans="1:10" ht="15" customHeight="1" x14ac:dyDescent="0.25">
      <c r="A187" t="s">
        <v>412</v>
      </c>
      <c r="B187" t="s">
        <v>181</v>
      </c>
      <c r="C187" s="9">
        <v>45960</v>
      </c>
      <c r="D187" s="9">
        <v>45974</v>
      </c>
      <c r="E187">
        <v>0</v>
      </c>
      <c r="F187">
        <v>2632</v>
      </c>
      <c r="G187">
        <v>144</v>
      </c>
      <c r="H187" s="10">
        <v>491.97</v>
      </c>
      <c r="I187">
        <v>1.4E-2</v>
      </c>
      <c r="J187">
        <v>5</v>
      </c>
    </row>
    <row r="188" spans="1:10" ht="15" customHeight="1" x14ac:dyDescent="0.25">
      <c r="A188" t="s">
        <v>413</v>
      </c>
      <c r="B188" t="s">
        <v>140</v>
      </c>
      <c r="C188" s="9">
        <v>45956</v>
      </c>
      <c r="D188" s="9">
        <v>45973</v>
      </c>
      <c r="E188">
        <v>0</v>
      </c>
      <c r="F188">
        <v>4903</v>
      </c>
      <c r="G188">
        <v>138</v>
      </c>
      <c r="H188" s="10">
        <v>309.12</v>
      </c>
      <c r="I188">
        <v>5.5E-2</v>
      </c>
      <c r="J188">
        <v>2</v>
      </c>
    </row>
    <row r="189" spans="1:10" ht="15" customHeight="1" x14ac:dyDescent="0.25">
      <c r="A189" t="s">
        <v>414</v>
      </c>
      <c r="B189" t="s">
        <v>203</v>
      </c>
      <c r="C189" s="9">
        <v>46052</v>
      </c>
      <c r="D189" s="9">
        <v>46066</v>
      </c>
      <c r="E189">
        <v>0</v>
      </c>
      <c r="F189">
        <v>3737</v>
      </c>
      <c r="G189">
        <v>10</v>
      </c>
      <c r="H189" s="10">
        <v>828.11</v>
      </c>
      <c r="I189">
        <v>-5.0000000000000001E-3</v>
      </c>
      <c r="J189">
        <v>3</v>
      </c>
    </row>
    <row r="190" spans="1:10" ht="15" customHeight="1" x14ac:dyDescent="0.25">
      <c r="A190" t="s">
        <v>415</v>
      </c>
      <c r="B190" t="s">
        <v>208</v>
      </c>
      <c r="C190" s="9">
        <v>46066</v>
      </c>
      <c r="D190" s="9">
        <v>46073</v>
      </c>
      <c r="E190">
        <v>0</v>
      </c>
      <c r="F190">
        <v>1002</v>
      </c>
      <c r="G190">
        <v>86</v>
      </c>
      <c r="H190" s="10">
        <v>456.42</v>
      </c>
      <c r="I190">
        <v>-3.0000000000000001E-3</v>
      </c>
      <c r="J190">
        <v>1</v>
      </c>
    </row>
    <row r="191" spans="1:10" ht="15" customHeight="1" x14ac:dyDescent="0.25">
      <c r="A191" t="s">
        <v>416</v>
      </c>
      <c r="B191" t="s">
        <v>167</v>
      </c>
      <c r="C191" s="9">
        <v>46023</v>
      </c>
      <c r="D191" s="9">
        <v>46038</v>
      </c>
      <c r="E191">
        <v>0</v>
      </c>
      <c r="F191">
        <v>1046</v>
      </c>
      <c r="G191">
        <v>42</v>
      </c>
      <c r="H191" s="10">
        <v>209.64</v>
      </c>
      <c r="I191">
        <v>2E-3</v>
      </c>
      <c r="J191">
        <v>3</v>
      </c>
    </row>
    <row r="192" spans="1:10" ht="15" customHeight="1" x14ac:dyDescent="0.25">
      <c r="A192" t="s">
        <v>417</v>
      </c>
      <c r="B192" t="s">
        <v>216</v>
      </c>
      <c r="C192" s="9">
        <v>45856</v>
      </c>
      <c r="D192" s="9">
        <v>45864</v>
      </c>
      <c r="E192">
        <v>0</v>
      </c>
      <c r="F192">
        <v>4304</v>
      </c>
      <c r="G192">
        <v>226</v>
      </c>
      <c r="H192" s="10">
        <v>170.33</v>
      </c>
      <c r="I192">
        <v>6.6000000000000003E-2</v>
      </c>
      <c r="J192">
        <v>3</v>
      </c>
    </row>
    <row r="193" spans="1:10" ht="15" customHeight="1" x14ac:dyDescent="0.25">
      <c r="A193" t="s">
        <v>418</v>
      </c>
      <c r="B193" t="s">
        <v>201</v>
      </c>
      <c r="C193" s="9">
        <v>45939</v>
      </c>
      <c r="D193" s="9">
        <v>45944</v>
      </c>
      <c r="E193">
        <v>0</v>
      </c>
      <c r="F193">
        <v>1357</v>
      </c>
      <c r="G193">
        <v>156</v>
      </c>
      <c r="H193" s="10">
        <v>840.97</v>
      </c>
      <c r="I193">
        <v>-4.0000000000000001E-3</v>
      </c>
      <c r="J193">
        <v>4</v>
      </c>
    </row>
    <row r="194" spans="1:10" ht="15" customHeight="1" x14ac:dyDescent="0.25">
      <c r="A194" t="s">
        <v>419</v>
      </c>
      <c r="B194" t="s">
        <v>181</v>
      </c>
      <c r="C194" s="9">
        <v>45918</v>
      </c>
      <c r="D194" s="9">
        <v>45927</v>
      </c>
      <c r="E194">
        <v>0</v>
      </c>
      <c r="F194">
        <v>3654</v>
      </c>
      <c r="G194">
        <v>231</v>
      </c>
      <c r="H194" s="10">
        <v>518.21</v>
      </c>
      <c r="I194">
        <v>2E-3</v>
      </c>
      <c r="J194">
        <v>2</v>
      </c>
    </row>
    <row r="195" spans="1:10" ht="15" customHeight="1" x14ac:dyDescent="0.25">
      <c r="A195" t="s">
        <v>420</v>
      </c>
      <c r="B195" t="s">
        <v>210</v>
      </c>
      <c r="C195" s="9">
        <v>46007</v>
      </c>
      <c r="D195" s="9">
        <v>46019</v>
      </c>
      <c r="E195">
        <v>0</v>
      </c>
      <c r="F195">
        <v>2739</v>
      </c>
      <c r="G195">
        <v>200</v>
      </c>
      <c r="H195" s="10">
        <v>807.33</v>
      </c>
      <c r="I195">
        <v>-2.5999999999999999E-2</v>
      </c>
      <c r="J195">
        <v>3</v>
      </c>
    </row>
    <row r="196" spans="1:10" ht="15" customHeight="1" x14ac:dyDescent="0.25">
      <c r="A196" t="s">
        <v>421</v>
      </c>
      <c r="B196" t="s">
        <v>212</v>
      </c>
      <c r="C196" s="9">
        <v>45855</v>
      </c>
      <c r="D196" s="9">
        <v>45864</v>
      </c>
      <c r="E196">
        <v>0</v>
      </c>
      <c r="F196">
        <v>2779</v>
      </c>
      <c r="G196">
        <v>151</v>
      </c>
      <c r="H196" s="10">
        <v>498.42</v>
      </c>
      <c r="I196">
        <v>-2.1999999999999999E-2</v>
      </c>
      <c r="J196">
        <v>5</v>
      </c>
    </row>
    <row r="197" spans="1:10" ht="15" customHeight="1" x14ac:dyDescent="0.25">
      <c r="A197" t="s">
        <v>422</v>
      </c>
      <c r="B197" t="s">
        <v>203</v>
      </c>
      <c r="C197" s="9">
        <v>45783</v>
      </c>
      <c r="D197" s="9">
        <v>45801</v>
      </c>
      <c r="E197">
        <v>0</v>
      </c>
      <c r="F197">
        <v>2723</v>
      </c>
      <c r="G197">
        <v>32</v>
      </c>
      <c r="H197" s="10">
        <v>864.08</v>
      </c>
      <c r="I197">
        <v>-2.5999999999999999E-2</v>
      </c>
      <c r="J197">
        <v>1</v>
      </c>
    </row>
    <row r="198" spans="1:10" ht="15" customHeight="1" x14ac:dyDescent="0.25">
      <c r="A198" t="s">
        <v>423</v>
      </c>
      <c r="B198" t="s">
        <v>179</v>
      </c>
      <c r="C198" s="9">
        <v>45821</v>
      </c>
      <c r="D198" s="9">
        <v>45830</v>
      </c>
      <c r="E198">
        <v>0</v>
      </c>
      <c r="F198">
        <v>1271</v>
      </c>
      <c r="G198">
        <v>92</v>
      </c>
      <c r="H198" s="10">
        <v>822.7</v>
      </c>
      <c r="I198">
        <v>-2.9000000000000001E-2</v>
      </c>
      <c r="J198">
        <v>3</v>
      </c>
    </row>
    <row r="199" spans="1:10" ht="15" customHeight="1" x14ac:dyDescent="0.25">
      <c r="A199" t="s">
        <v>424</v>
      </c>
      <c r="B199" t="s">
        <v>201</v>
      </c>
      <c r="C199" s="9">
        <v>45918</v>
      </c>
      <c r="D199" s="9">
        <v>45929</v>
      </c>
      <c r="E199">
        <v>0</v>
      </c>
      <c r="F199">
        <v>2208</v>
      </c>
      <c r="G199">
        <v>185</v>
      </c>
      <c r="H199" s="10">
        <v>272.69</v>
      </c>
      <c r="I199">
        <v>-7.0000000000000001E-3</v>
      </c>
      <c r="J199">
        <v>1</v>
      </c>
    </row>
    <row r="200" spans="1:10" ht="15" customHeight="1" x14ac:dyDescent="0.25">
      <c r="A200" t="s">
        <v>425</v>
      </c>
      <c r="B200" t="s">
        <v>140</v>
      </c>
      <c r="C200" s="9">
        <v>45787</v>
      </c>
      <c r="D200" s="9">
        <v>45792</v>
      </c>
      <c r="E200">
        <v>0</v>
      </c>
      <c r="F200">
        <v>4624</v>
      </c>
      <c r="G200">
        <v>46</v>
      </c>
      <c r="H200" s="10">
        <v>594.6</v>
      </c>
      <c r="I200">
        <v>5.2999999999999999E-2</v>
      </c>
      <c r="J200">
        <v>2</v>
      </c>
    </row>
    <row r="201" spans="1:10" ht="15" customHeight="1" x14ac:dyDescent="0.25">
      <c r="A201" t="s">
        <v>426</v>
      </c>
      <c r="B201" t="s">
        <v>161</v>
      </c>
      <c r="C201" s="9">
        <v>45833</v>
      </c>
      <c r="D201" s="9">
        <v>45847</v>
      </c>
      <c r="E201">
        <v>0</v>
      </c>
      <c r="F201">
        <v>4663</v>
      </c>
      <c r="G201">
        <v>417</v>
      </c>
      <c r="H201" s="10">
        <v>185.88</v>
      </c>
      <c r="I201">
        <v>7.1999999999999995E-2</v>
      </c>
      <c r="J201">
        <v>4</v>
      </c>
    </row>
    <row r="202" spans="1:10" ht="15" customHeight="1" x14ac:dyDescent="0.25">
      <c r="A202" t="s">
        <v>427</v>
      </c>
      <c r="B202" t="s">
        <v>203</v>
      </c>
      <c r="C202" s="9">
        <v>45948</v>
      </c>
      <c r="D202" s="9">
        <v>45963</v>
      </c>
      <c r="E202">
        <v>0</v>
      </c>
      <c r="F202">
        <v>3416</v>
      </c>
      <c r="G202">
        <v>73</v>
      </c>
      <c r="H202" s="10">
        <v>520.66999999999996</v>
      </c>
      <c r="I202">
        <v>-5.0000000000000001E-3</v>
      </c>
      <c r="J202">
        <v>4</v>
      </c>
    </row>
    <row r="203" spans="1:10" ht="15" customHeight="1" x14ac:dyDescent="0.25">
      <c r="A203" t="s">
        <v>428</v>
      </c>
      <c r="B203" t="s">
        <v>171</v>
      </c>
      <c r="C203" s="9">
        <v>45890</v>
      </c>
      <c r="D203" s="9">
        <v>45908</v>
      </c>
      <c r="E203">
        <v>0</v>
      </c>
      <c r="F203">
        <v>3080</v>
      </c>
      <c r="G203">
        <v>296</v>
      </c>
      <c r="H203" s="10">
        <v>579.15</v>
      </c>
      <c r="I203">
        <v>6.6000000000000003E-2</v>
      </c>
      <c r="J203">
        <v>4</v>
      </c>
    </row>
    <row r="204" spans="1:10" ht="15" customHeight="1" x14ac:dyDescent="0.25">
      <c r="A204" t="s">
        <v>429</v>
      </c>
      <c r="B204" t="s">
        <v>179</v>
      </c>
      <c r="C204" s="9">
        <v>46011</v>
      </c>
      <c r="D204" s="9">
        <v>46020</v>
      </c>
      <c r="E204">
        <v>0</v>
      </c>
      <c r="F204">
        <v>1375</v>
      </c>
      <c r="G204">
        <v>106</v>
      </c>
      <c r="H204" s="10">
        <v>39.83</v>
      </c>
      <c r="I204">
        <v>5.0000000000000001E-3</v>
      </c>
      <c r="J204">
        <v>4</v>
      </c>
    </row>
    <row r="205" spans="1:10" ht="15" customHeight="1" x14ac:dyDescent="0.25">
      <c r="A205" t="s">
        <v>430</v>
      </c>
      <c r="B205" t="s">
        <v>116</v>
      </c>
      <c r="C205" s="9">
        <v>45963</v>
      </c>
      <c r="D205" s="9">
        <v>45973</v>
      </c>
      <c r="E205">
        <v>0</v>
      </c>
      <c r="F205">
        <v>534</v>
      </c>
      <c r="G205">
        <v>14</v>
      </c>
      <c r="H205" s="10">
        <v>598.46</v>
      </c>
      <c r="I205">
        <v>-3.5000000000000003E-2</v>
      </c>
      <c r="J205">
        <v>1</v>
      </c>
    </row>
    <row r="206" spans="1:10" ht="15" customHeight="1" x14ac:dyDescent="0.25">
      <c r="A206" t="s">
        <v>431</v>
      </c>
      <c r="B206" t="s">
        <v>171</v>
      </c>
      <c r="C206" s="9">
        <v>45799</v>
      </c>
      <c r="D206" s="9">
        <v>45806</v>
      </c>
      <c r="E206">
        <v>0</v>
      </c>
      <c r="F206">
        <v>3092</v>
      </c>
      <c r="G206">
        <v>270</v>
      </c>
      <c r="H206" s="10">
        <v>299.13</v>
      </c>
      <c r="I206">
        <v>-2.3E-2</v>
      </c>
      <c r="J206">
        <v>3</v>
      </c>
    </row>
    <row r="207" spans="1:10" ht="15" customHeight="1" x14ac:dyDescent="0.25">
      <c r="A207" t="s">
        <v>432</v>
      </c>
      <c r="B207" t="s">
        <v>150</v>
      </c>
      <c r="C207" s="9">
        <v>46055</v>
      </c>
      <c r="D207" s="9">
        <v>46075</v>
      </c>
      <c r="E207">
        <v>0</v>
      </c>
      <c r="F207">
        <v>2819</v>
      </c>
      <c r="G207">
        <v>57</v>
      </c>
      <c r="H207" s="10">
        <v>569.64</v>
      </c>
      <c r="I207">
        <v>5.1999999999999998E-2</v>
      </c>
      <c r="J207">
        <v>4</v>
      </c>
    </row>
    <row r="208" spans="1:10" ht="15" customHeight="1" x14ac:dyDescent="0.25">
      <c r="A208" t="s">
        <v>433</v>
      </c>
      <c r="B208" t="s">
        <v>179</v>
      </c>
      <c r="C208" s="9">
        <v>45895</v>
      </c>
      <c r="D208" s="9">
        <v>45909</v>
      </c>
      <c r="E208">
        <v>0</v>
      </c>
      <c r="F208">
        <v>4435</v>
      </c>
      <c r="G208">
        <v>358</v>
      </c>
      <c r="H208" s="10">
        <v>588.11</v>
      </c>
      <c r="I208">
        <v>-2.9000000000000001E-2</v>
      </c>
      <c r="J208">
        <v>5</v>
      </c>
    </row>
    <row r="209" spans="1:10" ht="15" customHeight="1" x14ac:dyDescent="0.25">
      <c r="A209" t="s">
        <v>434</v>
      </c>
      <c r="B209" t="s">
        <v>133</v>
      </c>
      <c r="C209" s="9">
        <v>45896</v>
      </c>
      <c r="D209" s="9">
        <v>45914</v>
      </c>
      <c r="E209">
        <v>0</v>
      </c>
      <c r="F209">
        <v>1636</v>
      </c>
      <c r="G209">
        <v>21</v>
      </c>
      <c r="H209" s="10">
        <v>185.31</v>
      </c>
      <c r="I209">
        <v>8.9999999999999993E-3</v>
      </c>
      <c r="J209">
        <v>5</v>
      </c>
    </row>
    <row r="210" spans="1:10" ht="15" customHeight="1" x14ac:dyDescent="0.25">
      <c r="A210" t="s">
        <v>435</v>
      </c>
      <c r="B210" t="s">
        <v>214</v>
      </c>
      <c r="C210" s="9">
        <v>45946</v>
      </c>
      <c r="D210" s="9">
        <v>45962</v>
      </c>
      <c r="E210">
        <v>3</v>
      </c>
      <c r="F210">
        <v>2002</v>
      </c>
      <c r="G210">
        <v>68</v>
      </c>
      <c r="H210" s="10">
        <v>566.74</v>
      </c>
      <c r="I210">
        <v>-3.3000000000000002E-2</v>
      </c>
      <c r="J210">
        <v>2</v>
      </c>
    </row>
    <row r="211" spans="1:10" ht="15" customHeight="1" x14ac:dyDescent="0.25">
      <c r="A211" t="s">
        <v>436</v>
      </c>
      <c r="B211" t="s">
        <v>201</v>
      </c>
      <c r="C211" s="9">
        <v>45776</v>
      </c>
      <c r="D211" s="9">
        <v>45788</v>
      </c>
      <c r="E211">
        <v>2</v>
      </c>
      <c r="F211">
        <v>396</v>
      </c>
      <c r="G211">
        <v>38</v>
      </c>
      <c r="H211" s="10">
        <v>578.99</v>
      </c>
      <c r="I211">
        <v>2.4E-2</v>
      </c>
      <c r="J211">
        <v>5</v>
      </c>
    </row>
    <row r="212" spans="1:10" ht="15" customHeight="1" x14ac:dyDescent="0.25">
      <c r="A212" t="s">
        <v>437</v>
      </c>
      <c r="B212" t="s">
        <v>208</v>
      </c>
      <c r="C212" s="9">
        <v>46076</v>
      </c>
      <c r="D212" s="9">
        <v>46092</v>
      </c>
      <c r="E212">
        <v>0</v>
      </c>
      <c r="F212">
        <v>1461</v>
      </c>
      <c r="G212">
        <v>92</v>
      </c>
      <c r="H212" s="10">
        <v>240.68</v>
      </c>
      <c r="I212">
        <v>-5.0000000000000001E-3</v>
      </c>
      <c r="J212">
        <v>1</v>
      </c>
    </row>
    <row r="213" spans="1:10" ht="15" customHeight="1" x14ac:dyDescent="0.25">
      <c r="A213" t="s">
        <v>438</v>
      </c>
      <c r="B213" t="s">
        <v>216</v>
      </c>
      <c r="C213" s="9">
        <v>45825</v>
      </c>
      <c r="D213" s="9">
        <v>45836</v>
      </c>
      <c r="E213">
        <v>0</v>
      </c>
      <c r="F213">
        <v>414</v>
      </c>
      <c r="G213">
        <v>25</v>
      </c>
      <c r="H213" s="10">
        <v>169.9</v>
      </c>
      <c r="I213">
        <v>1.2999999999999999E-2</v>
      </c>
      <c r="J213">
        <v>1</v>
      </c>
    </row>
    <row r="214" spans="1:10" ht="15" customHeight="1" x14ac:dyDescent="0.25">
      <c r="A214" t="s">
        <v>439</v>
      </c>
      <c r="B214" t="s">
        <v>199</v>
      </c>
      <c r="C214" s="9">
        <v>45906</v>
      </c>
      <c r="D214" s="9">
        <v>45915</v>
      </c>
      <c r="E214">
        <v>0</v>
      </c>
      <c r="F214">
        <v>4469</v>
      </c>
      <c r="G214">
        <v>155</v>
      </c>
      <c r="H214" s="10">
        <v>257.23</v>
      </c>
      <c r="I214">
        <v>-3.3000000000000002E-2</v>
      </c>
      <c r="J214">
        <v>3</v>
      </c>
    </row>
    <row r="215" spans="1:10" ht="15" customHeight="1" x14ac:dyDescent="0.25">
      <c r="A215" t="s">
        <v>440</v>
      </c>
      <c r="B215" t="s">
        <v>128</v>
      </c>
      <c r="C215" s="9">
        <v>45772</v>
      </c>
      <c r="D215" s="9">
        <v>45778</v>
      </c>
      <c r="E215">
        <v>0</v>
      </c>
      <c r="F215">
        <v>590</v>
      </c>
      <c r="G215">
        <v>45</v>
      </c>
      <c r="H215" s="10">
        <v>28.15</v>
      </c>
      <c r="I215">
        <v>0.03</v>
      </c>
      <c r="J215">
        <v>4</v>
      </c>
    </row>
    <row r="216" spans="1:10" ht="15" customHeight="1" x14ac:dyDescent="0.25">
      <c r="A216" t="s">
        <v>441</v>
      </c>
      <c r="B216" t="s">
        <v>169</v>
      </c>
      <c r="C216" s="9">
        <v>45791</v>
      </c>
      <c r="D216" s="9">
        <v>45807</v>
      </c>
      <c r="E216">
        <v>0</v>
      </c>
      <c r="F216">
        <v>2451</v>
      </c>
      <c r="G216">
        <v>198</v>
      </c>
      <c r="H216" s="10">
        <v>539.57000000000005</v>
      </c>
      <c r="I216">
        <v>2.9000000000000001E-2</v>
      </c>
      <c r="J216">
        <v>1</v>
      </c>
    </row>
    <row r="217" spans="1:10" ht="15" customHeight="1" x14ac:dyDescent="0.25">
      <c r="A217" t="s">
        <v>442</v>
      </c>
      <c r="B217" t="s">
        <v>169</v>
      </c>
      <c r="C217" s="9">
        <v>46064</v>
      </c>
      <c r="D217" s="9">
        <v>46076</v>
      </c>
      <c r="E217">
        <v>0</v>
      </c>
      <c r="F217">
        <v>379</v>
      </c>
      <c r="G217">
        <v>22</v>
      </c>
      <c r="H217" s="10">
        <v>271.64</v>
      </c>
      <c r="I217">
        <v>-3.2000000000000001E-2</v>
      </c>
      <c r="J217">
        <v>5</v>
      </c>
    </row>
    <row r="218" spans="1:10" ht="15" customHeight="1" x14ac:dyDescent="0.25">
      <c r="A218" t="s">
        <v>443</v>
      </c>
      <c r="B218" t="s">
        <v>207</v>
      </c>
      <c r="C218" s="9">
        <v>45948</v>
      </c>
      <c r="D218" s="9">
        <v>45953</v>
      </c>
      <c r="E218">
        <v>0</v>
      </c>
      <c r="F218">
        <v>951</v>
      </c>
      <c r="G218">
        <v>57</v>
      </c>
      <c r="H218" s="10">
        <v>313.5</v>
      </c>
      <c r="I218">
        <v>2.9000000000000001E-2</v>
      </c>
      <c r="J218">
        <v>5</v>
      </c>
    </row>
    <row r="219" spans="1:10" ht="15" customHeight="1" x14ac:dyDescent="0.25">
      <c r="A219" t="s">
        <v>444</v>
      </c>
      <c r="B219" t="s">
        <v>130</v>
      </c>
      <c r="C219" s="9">
        <v>45987</v>
      </c>
      <c r="D219" s="9">
        <v>46000</v>
      </c>
      <c r="E219">
        <v>0</v>
      </c>
      <c r="F219">
        <v>4504</v>
      </c>
      <c r="G219">
        <v>345</v>
      </c>
      <c r="H219" s="10">
        <v>178.78</v>
      </c>
      <c r="I219">
        <v>8.0000000000000002E-3</v>
      </c>
      <c r="J219">
        <v>5</v>
      </c>
    </row>
    <row r="220" spans="1:10" ht="15" customHeight="1" x14ac:dyDescent="0.25">
      <c r="A220" t="s">
        <v>445</v>
      </c>
      <c r="B220" t="s">
        <v>179</v>
      </c>
      <c r="C220" s="9">
        <v>45901</v>
      </c>
      <c r="D220" s="9">
        <v>45912</v>
      </c>
      <c r="E220">
        <v>0</v>
      </c>
      <c r="F220">
        <v>3379</v>
      </c>
      <c r="G220">
        <v>284</v>
      </c>
      <c r="H220" s="10">
        <v>374.39</v>
      </c>
      <c r="I220">
        <v>0.03</v>
      </c>
      <c r="J220">
        <v>1</v>
      </c>
    </row>
    <row r="221" spans="1:10" ht="15" customHeight="1" x14ac:dyDescent="0.25">
      <c r="A221" t="s">
        <v>446</v>
      </c>
      <c r="B221" t="s">
        <v>210</v>
      </c>
      <c r="C221" s="9">
        <v>46071</v>
      </c>
      <c r="D221" s="9">
        <v>46090</v>
      </c>
      <c r="E221">
        <v>0</v>
      </c>
      <c r="F221">
        <v>4420</v>
      </c>
      <c r="G221">
        <v>360</v>
      </c>
      <c r="H221" s="10">
        <v>493.93</v>
      </c>
      <c r="I221">
        <v>4.1000000000000002E-2</v>
      </c>
      <c r="J221">
        <v>5</v>
      </c>
    </row>
    <row r="222" spans="1:10" ht="15" customHeight="1" x14ac:dyDescent="0.25">
      <c r="A222" t="s">
        <v>447</v>
      </c>
      <c r="B222" t="s">
        <v>186</v>
      </c>
      <c r="C222" s="9">
        <v>45753</v>
      </c>
      <c r="D222" s="9">
        <v>45761</v>
      </c>
      <c r="E222">
        <v>0</v>
      </c>
      <c r="F222">
        <v>1912</v>
      </c>
      <c r="G222">
        <v>174</v>
      </c>
      <c r="H222" s="10">
        <v>642.80999999999995</v>
      </c>
      <c r="I222">
        <v>5.2999999999999999E-2</v>
      </c>
      <c r="J222">
        <v>4</v>
      </c>
    </row>
    <row r="223" spans="1:10" ht="15" customHeight="1" x14ac:dyDescent="0.25">
      <c r="A223" t="s">
        <v>448</v>
      </c>
      <c r="B223" t="s">
        <v>169</v>
      </c>
      <c r="C223" s="9">
        <v>46073</v>
      </c>
      <c r="D223" s="9">
        <v>46082</v>
      </c>
      <c r="E223">
        <v>0</v>
      </c>
      <c r="F223">
        <v>817</v>
      </c>
      <c r="G223">
        <v>67</v>
      </c>
      <c r="H223" s="10">
        <v>417</v>
      </c>
      <c r="I223">
        <v>4.9000000000000002E-2</v>
      </c>
      <c r="J223">
        <v>5</v>
      </c>
    </row>
    <row r="224" spans="1:10" ht="15" customHeight="1" x14ac:dyDescent="0.25">
      <c r="A224" t="s">
        <v>449</v>
      </c>
      <c r="B224" t="s">
        <v>167</v>
      </c>
      <c r="C224" s="9">
        <v>45768</v>
      </c>
      <c r="D224" s="9">
        <v>45783</v>
      </c>
      <c r="E224">
        <v>0</v>
      </c>
      <c r="F224">
        <v>2942</v>
      </c>
      <c r="G224">
        <v>76</v>
      </c>
      <c r="H224" s="10">
        <v>60.88</v>
      </c>
      <c r="I224">
        <v>0.04</v>
      </c>
      <c r="J224">
        <v>2</v>
      </c>
    </row>
    <row r="225" spans="1:10" ht="15" customHeight="1" x14ac:dyDescent="0.25">
      <c r="A225" t="s">
        <v>450</v>
      </c>
      <c r="B225" t="s">
        <v>137</v>
      </c>
      <c r="C225" s="9">
        <v>46027</v>
      </c>
      <c r="D225" s="9">
        <v>46039</v>
      </c>
      <c r="E225">
        <v>0</v>
      </c>
      <c r="F225">
        <v>2450</v>
      </c>
      <c r="G225">
        <v>129</v>
      </c>
      <c r="H225" s="10">
        <v>222.32</v>
      </c>
      <c r="I225">
        <v>1.4E-2</v>
      </c>
      <c r="J225">
        <v>4</v>
      </c>
    </row>
    <row r="226" spans="1:10" ht="15" customHeight="1" x14ac:dyDescent="0.25">
      <c r="A226" t="s">
        <v>451</v>
      </c>
      <c r="B226" t="s">
        <v>150</v>
      </c>
      <c r="C226" s="9">
        <v>46008</v>
      </c>
      <c r="D226" s="9">
        <v>46015</v>
      </c>
      <c r="E226">
        <v>0</v>
      </c>
      <c r="F226">
        <v>2071</v>
      </c>
      <c r="G226">
        <v>118</v>
      </c>
      <c r="H226" s="10">
        <v>166.42</v>
      </c>
      <c r="I226">
        <v>5.6000000000000001E-2</v>
      </c>
      <c r="J226">
        <v>1</v>
      </c>
    </row>
    <row r="227" spans="1:10" ht="15" customHeight="1" x14ac:dyDescent="0.25">
      <c r="A227" t="s">
        <v>452</v>
      </c>
      <c r="B227" t="s">
        <v>143</v>
      </c>
      <c r="C227" s="9">
        <v>46084</v>
      </c>
      <c r="D227" s="9">
        <v>46091</v>
      </c>
      <c r="E227">
        <v>0</v>
      </c>
      <c r="F227">
        <v>220</v>
      </c>
      <c r="G227">
        <v>16</v>
      </c>
      <c r="H227" s="10">
        <v>577.29999999999995</v>
      </c>
      <c r="I227">
        <v>-4.8000000000000001E-2</v>
      </c>
      <c r="J227">
        <v>1</v>
      </c>
    </row>
    <row r="228" spans="1:10" ht="15" customHeight="1" x14ac:dyDescent="0.25">
      <c r="A228" t="s">
        <v>453</v>
      </c>
      <c r="B228" t="s">
        <v>195</v>
      </c>
      <c r="C228" s="9">
        <v>45914</v>
      </c>
      <c r="D228" s="9">
        <v>45926</v>
      </c>
      <c r="E228">
        <v>0</v>
      </c>
      <c r="F228">
        <v>277</v>
      </c>
      <c r="G228">
        <v>25</v>
      </c>
      <c r="H228" s="10">
        <v>347.56</v>
      </c>
      <c r="I228">
        <v>6.8000000000000005E-2</v>
      </c>
      <c r="J228">
        <v>3</v>
      </c>
    </row>
    <row r="229" spans="1:10" ht="15" customHeight="1" x14ac:dyDescent="0.25">
      <c r="A229" t="s">
        <v>454</v>
      </c>
      <c r="B229" t="s">
        <v>147</v>
      </c>
      <c r="C229" s="9">
        <v>46071</v>
      </c>
      <c r="D229" s="9">
        <v>46081</v>
      </c>
      <c r="E229">
        <v>0</v>
      </c>
      <c r="F229">
        <v>2491</v>
      </c>
      <c r="G229">
        <v>167</v>
      </c>
      <c r="H229" s="10">
        <v>435.65</v>
      </c>
      <c r="I229">
        <v>-6.0000000000000001E-3</v>
      </c>
      <c r="J229">
        <v>5</v>
      </c>
    </row>
    <row r="230" spans="1:10" ht="15" customHeight="1" x14ac:dyDescent="0.25">
      <c r="A230" t="s">
        <v>455</v>
      </c>
      <c r="B230" t="s">
        <v>167</v>
      </c>
      <c r="C230" s="9">
        <v>46048</v>
      </c>
      <c r="D230" s="9">
        <v>46055</v>
      </c>
      <c r="E230">
        <v>0</v>
      </c>
      <c r="F230">
        <v>145</v>
      </c>
      <c r="G230">
        <v>5</v>
      </c>
      <c r="H230" s="10">
        <v>299.55</v>
      </c>
      <c r="I230">
        <v>5.8000000000000003E-2</v>
      </c>
      <c r="J230">
        <v>1</v>
      </c>
    </row>
    <row r="231" spans="1:10" ht="15" customHeight="1" x14ac:dyDescent="0.25">
      <c r="A231" t="s">
        <v>456</v>
      </c>
      <c r="B231" t="s">
        <v>212</v>
      </c>
      <c r="C231" s="9">
        <v>45847</v>
      </c>
      <c r="D231" s="9">
        <v>45855</v>
      </c>
      <c r="E231">
        <v>0</v>
      </c>
      <c r="F231">
        <v>1855</v>
      </c>
      <c r="G231">
        <v>77</v>
      </c>
      <c r="H231" s="10">
        <v>388.32</v>
      </c>
      <c r="I231">
        <v>3.7999999999999999E-2</v>
      </c>
      <c r="J231">
        <v>5</v>
      </c>
    </row>
    <row r="232" spans="1:10" ht="15" customHeight="1" x14ac:dyDescent="0.25">
      <c r="A232" t="s">
        <v>457</v>
      </c>
      <c r="B232" t="s">
        <v>175</v>
      </c>
      <c r="C232" s="9">
        <v>45993</v>
      </c>
      <c r="D232" s="9">
        <v>46010</v>
      </c>
      <c r="E232">
        <v>0</v>
      </c>
      <c r="F232">
        <v>3278</v>
      </c>
      <c r="G232">
        <v>273</v>
      </c>
      <c r="H232" s="10">
        <v>226.99</v>
      </c>
      <c r="I232">
        <v>5.7000000000000002E-2</v>
      </c>
      <c r="J232">
        <v>3</v>
      </c>
    </row>
    <row r="233" spans="1:10" ht="15" customHeight="1" x14ac:dyDescent="0.25">
      <c r="A233" t="s">
        <v>458</v>
      </c>
      <c r="B233" t="s">
        <v>130</v>
      </c>
      <c r="C233" s="9">
        <v>46008</v>
      </c>
      <c r="D233" s="9">
        <v>46020</v>
      </c>
      <c r="E233">
        <v>0</v>
      </c>
      <c r="F233">
        <v>3716</v>
      </c>
      <c r="G233">
        <v>240</v>
      </c>
      <c r="H233" s="10">
        <v>530.61</v>
      </c>
      <c r="I233">
        <v>-3.6999999999999998E-2</v>
      </c>
      <c r="J233">
        <v>3</v>
      </c>
    </row>
    <row r="234" spans="1:10" ht="15" customHeight="1" x14ac:dyDescent="0.25">
      <c r="A234" t="s">
        <v>459</v>
      </c>
      <c r="B234" t="s">
        <v>210</v>
      </c>
      <c r="C234" s="9">
        <v>45927</v>
      </c>
      <c r="D234" s="9">
        <v>45942</v>
      </c>
      <c r="E234">
        <v>0</v>
      </c>
      <c r="F234">
        <v>841</v>
      </c>
      <c r="G234">
        <v>68</v>
      </c>
      <c r="H234" s="10">
        <v>297.61</v>
      </c>
      <c r="I234">
        <v>-8.9999999999999993E-3</v>
      </c>
      <c r="J234">
        <v>3</v>
      </c>
    </row>
    <row r="235" spans="1:10" ht="15" customHeight="1" x14ac:dyDescent="0.25">
      <c r="A235" t="s">
        <v>460</v>
      </c>
      <c r="B235" t="s">
        <v>152</v>
      </c>
      <c r="C235" s="9">
        <v>45911</v>
      </c>
      <c r="D235" s="9">
        <v>45931</v>
      </c>
      <c r="E235">
        <v>0</v>
      </c>
      <c r="F235">
        <v>2238</v>
      </c>
      <c r="G235">
        <v>95</v>
      </c>
      <c r="H235" s="10">
        <v>332.84</v>
      </c>
      <c r="I235">
        <v>-4.2000000000000003E-2</v>
      </c>
      <c r="J235">
        <v>1</v>
      </c>
    </row>
    <row r="236" spans="1:10" ht="15" customHeight="1" x14ac:dyDescent="0.25">
      <c r="A236" t="s">
        <v>461</v>
      </c>
      <c r="B236" t="s">
        <v>161</v>
      </c>
      <c r="C236" s="9">
        <v>46055</v>
      </c>
      <c r="D236" s="9">
        <v>46075</v>
      </c>
      <c r="E236">
        <v>0</v>
      </c>
      <c r="F236">
        <v>770</v>
      </c>
      <c r="G236">
        <v>71</v>
      </c>
      <c r="H236" s="10">
        <v>484.74</v>
      </c>
      <c r="I236">
        <v>1.2E-2</v>
      </c>
      <c r="J236">
        <v>2</v>
      </c>
    </row>
    <row r="237" spans="1:10" ht="15" customHeight="1" x14ac:dyDescent="0.25">
      <c r="A237" t="s">
        <v>462</v>
      </c>
      <c r="B237" t="s">
        <v>164</v>
      </c>
      <c r="C237" s="9">
        <v>46046</v>
      </c>
      <c r="D237" s="9">
        <v>46055</v>
      </c>
      <c r="E237">
        <v>0</v>
      </c>
      <c r="F237">
        <v>3455</v>
      </c>
      <c r="G237">
        <v>133</v>
      </c>
      <c r="H237" s="10">
        <v>478.21</v>
      </c>
      <c r="I237">
        <v>3.6999999999999998E-2</v>
      </c>
      <c r="J237">
        <v>3</v>
      </c>
    </row>
    <row r="238" spans="1:10" ht="15" customHeight="1" x14ac:dyDescent="0.25">
      <c r="A238" t="s">
        <v>463</v>
      </c>
      <c r="B238" t="s">
        <v>179</v>
      </c>
      <c r="C238" s="9">
        <v>45862</v>
      </c>
      <c r="D238" s="9">
        <v>45880</v>
      </c>
      <c r="E238">
        <v>0</v>
      </c>
      <c r="F238">
        <v>750</v>
      </c>
      <c r="G238">
        <v>68</v>
      </c>
      <c r="H238" s="10">
        <v>497.13</v>
      </c>
      <c r="I238">
        <v>5.5E-2</v>
      </c>
      <c r="J238">
        <v>2</v>
      </c>
    </row>
    <row r="239" spans="1:10" ht="15" customHeight="1" x14ac:dyDescent="0.25">
      <c r="A239" t="s">
        <v>464</v>
      </c>
      <c r="B239" t="s">
        <v>189</v>
      </c>
      <c r="C239" s="9">
        <v>46024</v>
      </c>
      <c r="D239" s="9">
        <v>46038</v>
      </c>
      <c r="E239">
        <v>0</v>
      </c>
      <c r="F239">
        <v>4248</v>
      </c>
      <c r="G239">
        <v>195</v>
      </c>
      <c r="H239" s="10">
        <v>546.82000000000005</v>
      </c>
      <c r="I239">
        <v>6.0999999999999999E-2</v>
      </c>
      <c r="J239">
        <v>3</v>
      </c>
    </row>
    <row r="240" spans="1:10" ht="15" customHeight="1" x14ac:dyDescent="0.25">
      <c r="A240" t="s">
        <v>465</v>
      </c>
      <c r="B240" t="s">
        <v>147</v>
      </c>
      <c r="C240" s="9">
        <v>46069</v>
      </c>
      <c r="D240" s="9">
        <v>46083</v>
      </c>
      <c r="E240">
        <v>0</v>
      </c>
      <c r="F240">
        <v>1515</v>
      </c>
      <c r="G240">
        <v>116</v>
      </c>
      <c r="H240" s="10">
        <v>213.16</v>
      </c>
      <c r="I240">
        <v>-3.2000000000000001E-2</v>
      </c>
      <c r="J240">
        <v>1</v>
      </c>
    </row>
    <row r="241" spans="1:10" ht="15" customHeight="1" x14ac:dyDescent="0.25">
      <c r="A241" t="s">
        <v>466</v>
      </c>
      <c r="B241" t="s">
        <v>130</v>
      </c>
      <c r="C241" s="9">
        <v>45908</v>
      </c>
      <c r="D241" s="9">
        <v>45928</v>
      </c>
      <c r="E241">
        <v>0</v>
      </c>
      <c r="F241">
        <v>4813</v>
      </c>
      <c r="G241">
        <v>252</v>
      </c>
      <c r="H241" s="10">
        <v>80.739999999999995</v>
      </c>
      <c r="I241">
        <v>8.0000000000000002E-3</v>
      </c>
      <c r="J241">
        <v>5</v>
      </c>
    </row>
    <row r="242" spans="1:10" ht="15" customHeight="1" x14ac:dyDescent="0.25">
      <c r="A242" t="s">
        <v>467</v>
      </c>
      <c r="B242" t="s">
        <v>128</v>
      </c>
      <c r="C242" s="9">
        <v>45915</v>
      </c>
      <c r="D242" s="9">
        <v>45933</v>
      </c>
      <c r="E242">
        <v>0</v>
      </c>
      <c r="F242">
        <v>162</v>
      </c>
      <c r="G242">
        <v>12</v>
      </c>
      <c r="H242" s="10">
        <v>296.01</v>
      </c>
      <c r="I242">
        <v>7.0999999999999994E-2</v>
      </c>
      <c r="J242">
        <v>5</v>
      </c>
    </row>
    <row r="243" spans="1:10" ht="15" customHeight="1" x14ac:dyDescent="0.25">
      <c r="A243" t="s">
        <v>468</v>
      </c>
      <c r="B243" t="s">
        <v>161</v>
      </c>
      <c r="C243" s="9">
        <v>45968</v>
      </c>
      <c r="D243" s="9">
        <v>45975</v>
      </c>
      <c r="E243">
        <v>0</v>
      </c>
      <c r="F243">
        <v>3145</v>
      </c>
      <c r="G243">
        <v>327</v>
      </c>
      <c r="H243" s="10">
        <v>254.26</v>
      </c>
      <c r="I243">
        <v>7.5999999999999998E-2</v>
      </c>
      <c r="J243">
        <v>2</v>
      </c>
    </row>
    <row r="244" spans="1:10" ht="15" customHeight="1" x14ac:dyDescent="0.25">
      <c r="A244" t="s">
        <v>469</v>
      </c>
      <c r="B244" t="s">
        <v>193</v>
      </c>
      <c r="C244" s="9">
        <v>45942</v>
      </c>
      <c r="D244" s="9">
        <v>45950</v>
      </c>
      <c r="E244">
        <v>0</v>
      </c>
      <c r="F244">
        <v>1206</v>
      </c>
      <c r="G244">
        <v>87</v>
      </c>
      <c r="H244" s="10">
        <v>427.38</v>
      </c>
      <c r="I244">
        <v>-4.5999999999999999E-2</v>
      </c>
      <c r="J244">
        <v>1</v>
      </c>
    </row>
    <row r="245" spans="1:10" ht="15" customHeight="1" x14ac:dyDescent="0.25">
      <c r="A245" t="s">
        <v>470</v>
      </c>
      <c r="B245" t="s">
        <v>181</v>
      </c>
      <c r="C245" s="9">
        <v>45819</v>
      </c>
      <c r="D245" s="9">
        <v>45839</v>
      </c>
      <c r="E245">
        <v>0</v>
      </c>
      <c r="F245">
        <v>3976</v>
      </c>
      <c r="G245">
        <v>266</v>
      </c>
      <c r="H245" s="10">
        <v>765.61</v>
      </c>
      <c r="I245">
        <v>7.9000000000000001E-2</v>
      </c>
      <c r="J245">
        <v>1</v>
      </c>
    </row>
    <row r="246" spans="1:10" ht="15" customHeight="1" x14ac:dyDescent="0.25">
      <c r="A246" t="s">
        <v>471</v>
      </c>
      <c r="B246" t="s">
        <v>186</v>
      </c>
      <c r="C246" s="9">
        <v>45854</v>
      </c>
      <c r="D246" s="9">
        <v>45874</v>
      </c>
      <c r="E246">
        <v>0</v>
      </c>
      <c r="F246">
        <v>3034</v>
      </c>
      <c r="G246">
        <v>259</v>
      </c>
      <c r="H246" s="10">
        <v>619.44000000000005</v>
      </c>
      <c r="I246">
        <v>3.5999999999999997E-2</v>
      </c>
      <c r="J246">
        <v>5</v>
      </c>
    </row>
    <row r="247" spans="1:10" ht="15" customHeight="1" x14ac:dyDescent="0.25">
      <c r="A247" t="s">
        <v>472</v>
      </c>
      <c r="B247" t="s">
        <v>143</v>
      </c>
      <c r="C247" s="9">
        <v>45986</v>
      </c>
      <c r="D247" s="9">
        <v>45995</v>
      </c>
      <c r="E247">
        <v>0</v>
      </c>
      <c r="F247">
        <v>2501</v>
      </c>
      <c r="G247">
        <v>234</v>
      </c>
      <c r="H247" s="10">
        <v>140.84</v>
      </c>
      <c r="I247">
        <v>-2.7E-2</v>
      </c>
      <c r="J247">
        <v>1</v>
      </c>
    </row>
    <row r="248" spans="1:10" ht="15" customHeight="1" x14ac:dyDescent="0.25">
      <c r="A248" t="s">
        <v>473</v>
      </c>
      <c r="B248" t="s">
        <v>155</v>
      </c>
      <c r="C248" s="9">
        <v>45825</v>
      </c>
      <c r="D248" s="9">
        <v>45835</v>
      </c>
      <c r="E248">
        <v>0</v>
      </c>
      <c r="F248">
        <v>3778</v>
      </c>
      <c r="G248">
        <v>395</v>
      </c>
      <c r="H248" s="10">
        <v>732.68</v>
      </c>
      <c r="I248">
        <v>0.02</v>
      </c>
      <c r="J248">
        <v>3</v>
      </c>
    </row>
    <row r="249" spans="1:10" ht="15" customHeight="1" x14ac:dyDescent="0.25">
      <c r="A249" t="s">
        <v>474</v>
      </c>
      <c r="B249" t="s">
        <v>176</v>
      </c>
      <c r="C249" s="9">
        <v>45873</v>
      </c>
      <c r="D249" s="9">
        <v>45881</v>
      </c>
      <c r="E249">
        <v>0</v>
      </c>
      <c r="F249">
        <v>648</v>
      </c>
      <c r="G249">
        <v>3</v>
      </c>
      <c r="H249" s="10">
        <v>374.9</v>
      </c>
      <c r="I249">
        <v>-1.7000000000000001E-2</v>
      </c>
      <c r="J249">
        <v>4</v>
      </c>
    </row>
    <row r="250" spans="1:10" ht="15" customHeight="1" x14ac:dyDescent="0.25">
      <c r="A250" t="s">
        <v>475</v>
      </c>
      <c r="B250" t="s">
        <v>143</v>
      </c>
      <c r="C250" s="9">
        <v>46020</v>
      </c>
      <c r="D250" s="9">
        <v>46032</v>
      </c>
      <c r="E250">
        <v>0</v>
      </c>
      <c r="F250">
        <v>1788</v>
      </c>
      <c r="G250">
        <v>145</v>
      </c>
      <c r="H250" s="10">
        <v>886.64</v>
      </c>
      <c r="I250">
        <v>6.9000000000000006E-2</v>
      </c>
      <c r="J250">
        <v>1</v>
      </c>
    </row>
    <row r="251" spans="1:10" ht="15" customHeight="1" x14ac:dyDescent="0.25">
      <c r="A251" t="s">
        <v>476</v>
      </c>
      <c r="B251" t="s">
        <v>167</v>
      </c>
      <c r="C251" s="9">
        <v>46035</v>
      </c>
      <c r="D251" s="9">
        <v>46042</v>
      </c>
      <c r="E251">
        <v>0</v>
      </c>
      <c r="F251">
        <v>858</v>
      </c>
      <c r="G251">
        <v>44</v>
      </c>
      <c r="H251" s="10">
        <v>178.21</v>
      </c>
      <c r="I251">
        <v>5.5E-2</v>
      </c>
      <c r="J251">
        <v>3</v>
      </c>
    </row>
    <row r="252" spans="1:10" ht="15" customHeight="1" x14ac:dyDescent="0.25">
      <c r="A252" t="s">
        <v>477</v>
      </c>
      <c r="B252" t="s">
        <v>207</v>
      </c>
      <c r="C252" s="9">
        <v>45814</v>
      </c>
      <c r="D252" s="9">
        <v>45822</v>
      </c>
      <c r="E252">
        <v>0</v>
      </c>
      <c r="F252">
        <v>896</v>
      </c>
      <c r="G252">
        <v>35</v>
      </c>
      <c r="H252" s="10">
        <v>531.16</v>
      </c>
      <c r="I252">
        <v>-4.1000000000000002E-2</v>
      </c>
      <c r="J252">
        <v>4</v>
      </c>
    </row>
    <row r="253" spans="1:10" ht="15" customHeight="1" x14ac:dyDescent="0.25">
      <c r="A253" t="s">
        <v>478</v>
      </c>
      <c r="B253" t="s">
        <v>164</v>
      </c>
      <c r="C253" s="9">
        <v>45813</v>
      </c>
      <c r="D253" s="9">
        <v>45830</v>
      </c>
      <c r="E253">
        <v>0</v>
      </c>
      <c r="F253">
        <v>1809</v>
      </c>
      <c r="G253">
        <v>37</v>
      </c>
      <c r="H253" s="10">
        <v>159.99</v>
      </c>
      <c r="I253">
        <v>-3.9E-2</v>
      </c>
      <c r="J253">
        <v>5</v>
      </c>
    </row>
    <row r="254" spans="1:10" ht="15" customHeight="1" x14ac:dyDescent="0.25">
      <c r="A254" t="s">
        <v>479</v>
      </c>
      <c r="B254" t="s">
        <v>175</v>
      </c>
      <c r="C254" s="9">
        <v>45785</v>
      </c>
      <c r="D254" s="9">
        <v>45797</v>
      </c>
      <c r="E254">
        <v>0</v>
      </c>
      <c r="F254">
        <v>4943</v>
      </c>
      <c r="G254">
        <v>481</v>
      </c>
      <c r="H254" s="10">
        <v>767.95</v>
      </c>
      <c r="I254">
        <v>6.4000000000000001E-2</v>
      </c>
      <c r="J254">
        <v>1</v>
      </c>
    </row>
    <row r="255" spans="1:10" ht="15" customHeight="1" x14ac:dyDescent="0.25">
      <c r="A255" t="s">
        <v>480</v>
      </c>
      <c r="B255" t="s">
        <v>189</v>
      </c>
      <c r="C255" s="9">
        <v>45810</v>
      </c>
      <c r="D255" s="9">
        <v>45817</v>
      </c>
      <c r="E255">
        <v>0</v>
      </c>
      <c r="F255">
        <v>4794</v>
      </c>
      <c r="G255">
        <v>189</v>
      </c>
      <c r="H255" s="10">
        <v>648.35</v>
      </c>
      <c r="I255">
        <v>5.2999999999999999E-2</v>
      </c>
      <c r="J255">
        <v>1</v>
      </c>
    </row>
    <row r="256" spans="1:10" ht="15" customHeight="1" x14ac:dyDescent="0.25">
      <c r="A256" t="s">
        <v>481</v>
      </c>
      <c r="B256" t="s">
        <v>128</v>
      </c>
      <c r="C256" s="9">
        <v>45865</v>
      </c>
      <c r="D256" s="9">
        <v>45878</v>
      </c>
      <c r="E256">
        <v>0</v>
      </c>
      <c r="F256">
        <v>3137</v>
      </c>
      <c r="G256">
        <v>209</v>
      </c>
      <c r="H256" s="10">
        <v>480.46</v>
      </c>
      <c r="I256">
        <v>2.7E-2</v>
      </c>
      <c r="J256">
        <v>2</v>
      </c>
    </row>
    <row r="257" spans="1:10" ht="15" customHeight="1" x14ac:dyDescent="0.25">
      <c r="A257" t="s">
        <v>482</v>
      </c>
      <c r="B257" t="s">
        <v>164</v>
      </c>
      <c r="C257" s="9">
        <v>46071</v>
      </c>
      <c r="D257" s="9">
        <v>46085</v>
      </c>
      <c r="E257">
        <v>0</v>
      </c>
      <c r="F257">
        <v>2690</v>
      </c>
      <c r="G257">
        <v>98</v>
      </c>
      <c r="H257" s="10">
        <v>490.87</v>
      </c>
      <c r="I257">
        <v>7.3999999999999996E-2</v>
      </c>
      <c r="J257">
        <v>1</v>
      </c>
    </row>
    <row r="258" spans="1:10" ht="15" customHeight="1" x14ac:dyDescent="0.25">
      <c r="A258" t="s">
        <v>483</v>
      </c>
      <c r="B258" t="s">
        <v>191</v>
      </c>
      <c r="C258" s="9">
        <v>45960</v>
      </c>
      <c r="D258" s="9">
        <v>45965</v>
      </c>
      <c r="E258">
        <v>0</v>
      </c>
      <c r="F258">
        <v>899</v>
      </c>
      <c r="G258">
        <v>90</v>
      </c>
      <c r="H258" s="10">
        <v>495.83</v>
      </c>
      <c r="I258">
        <v>-2.4E-2</v>
      </c>
      <c r="J258">
        <v>4</v>
      </c>
    </row>
    <row r="259" spans="1:10" ht="15" customHeight="1" x14ac:dyDescent="0.25">
      <c r="A259" t="s">
        <v>484</v>
      </c>
      <c r="B259" t="s">
        <v>216</v>
      </c>
      <c r="C259" s="9">
        <v>46053</v>
      </c>
      <c r="D259" s="9">
        <v>46067</v>
      </c>
      <c r="E259">
        <v>0</v>
      </c>
      <c r="F259">
        <v>4700</v>
      </c>
      <c r="G259">
        <v>209</v>
      </c>
      <c r="H259" s="10">
        <v>354.55</v>
      </c>
      <c r="I259">
        <v>5.8000000000000003E-2</v>
      </c>
      <c r="J259">
        <v>5</v>
      </c>
    </row>
    <row r="260" spans="1:10" ht="15" customHeight="1" x14ac:dyDescent="0.25">
      <c r="A260" t="s">
        <v>485</v>
      </c>
      <c r="B260" t="s">
        <v>207</v>
      </c>
      <c r="C260" s="9">
        <v>46085</v>
      </c>
      <c r="D260" s="9">
        <v>46091</v>
      </c>
      <c r="E260">
        <v>0</v>
      </c>
      <c r="F260">
        <v>4640</v>
      </c>
      <c r="G260">
        <v>314</v>
      </c>
      <c r="H260" s="10">
        <v>650.16999999999996</v>
      </c>
      <c r="I260">
        <v>-0.01</v>
      </c>
      <c r="J260">
        <v>2</v>
      </c>
    </row>
    <row r="261" spans="1:10" ht="15" customHeight="1" x14ac:dyDescent="0.25">
      <c r="A261" t="s">
        <v>486</v>
      </c>
      <c r="B261" t="s">
        <v>176</v>
      </c>
      <c r="C261" s="9">
        <v>46078</v>
      </c>
      <c r="D261" s="9">
        <v>46097</v>
      </c>
      <c r="E261">
        <v>0</v>
      </c>
      <c r="F261">
        <v>1336</v>
      </c>
      <c r="G261">
        <v>10</v>
      </c>
      <c r="H261" s="10">
        <v>347.15</v>
      </c>
      <c r="I261">
        <v>-5.0000000000000001E-3</v>
      </c>
      <c r="J261">
        <v>4</v>
      </c>
    </row>
    <row r="262" spans="1:10" ht="15" customHeight="1" x14ac:dyDescent="0.25">
      <c r="A262" t="s">
        <v>487</v>
      </c>
      <c r="B262" t="s">
        <v>214</v>
      </c>
      <c r="C262" s="9">
        <v>45781</v>
      </c>
      <c r="D262" s="9">
        <v>45791</v>
      </c>
      <c r="E262">
        <v>0</v>
      </c>
      <c r="F262">
        <v>625</v>
      </c>
      <c r="G262">
        <v>33</v>
      </c>
      <c r="H262" s="10">
        <v>827.38</v>
      </c>
      <c r="I262">
        <v>0.01</v>
      </c>
      <c r="J262">
        <v>4</v>
      </c>
    </row>
    <row r="263" spans="1:10" ht="15" customHeight="1" x14ac:dyDescent="0.25">
      <c r="A263" t="s">
        <v>488</v>
      </c>
      <c r="B263" t="s">
        <v>150</v>
      </c>
      <c r="C263" s="9">
        <v>45984</v>
      </c>
      <c r="D263" s="9">
        <v>45998</v>
      </c>
      <c r="E263">
        <v>0</v>
      </c>
      <c r="F263">
        <v>935</v>
      </c>
      <c r="G263">
        <v>37</v>
      </c>
      <c r="H263" s="10">
        <v>686.96</v>
      </c>
      <c r="I263">
        <v>4.2999999999999997E-2</v>
      </c>
      <c r="J263">
        <v>4</v>
      </c>
    </row>
    <row r="264" spans="1:10" ht="15" customHeight="1" x14ac:dyDescent="0.25">
      <c r="A264" t="s">
        <v>489</v>
      </c>
      <c r="B264" t="s">
        <v>210</v>
      </c>
      <c r="C264" s="9">
        <v>46037</v>
      </c>
      <c r="D264" s="9">
        <v>46052</v>
      </c>
      <c r="E264">
        <v>0</v>
      </c>
      <c r="F264">
        <v>283</v>
      </c>
      <c r="G264">
        <v>22</v>
      </c>
      <c r="H264" s="10">
        <v>257.38</v>
      </c>
      <c r="I264">
        <v>6.9000000000000006E-2</v>
      </c>
      <c r="J264">
        <v>3</v>
      </c>
    </row>
    <row r="265" spans="1:10" ht="15" customHeight="1" x14ac:dyDescent="0.25">
      <c r="A265" t="s">
        <v>490</v>
      </c>
      <c r="B265" t="s">
        <v>214</v>
      </c>
      <c r="C265" s="9">
        <v>45955</v>
      </c>
      <c r="D265" s="9">
        <v>45961</v>
      </c>
      <c r="E265">
        <v>0</v>
      </c>
      <c r="F265">
        <v>2838</v>
      </c>
      <c r="G265">
        <v>141</v>
      </c>
      <c r="H265" s="10">
        <v>683.11</v>
      </c>
      <c r="I265">
        <v>7.1999999999999995E-2</v>
      </c>
      <c r="J265">
        <v>5</v>
      </c>
    </row>
    <row r="266" spans="1:10" ht="15" customHeight="1" x14ac:dyDescent="0.25">
      <c r="A266" t="s">
        <v>491</v>
      </c>
      <c r="B266" t="s">
        <v>152</v>
      </c>
      <c r="C266" s="9">
        <v>45901</v>
      </c>
      <c r="D266" s="9">
        <v>45921</v>
      </c>
      <c r="E266">
        <v>0</v>
      </c>
      <c r="F266">
        <v>348</v>
      </c>
      <c r="G266">
        <v>18</v>
      </c>
      <c r="H266" s="10">
        <v>649.94000000000005</v>
      </c>
      <c r="I266">
        <v>0</v>
      </c>
      <c r="J266">
        <v>5</v>
      </c>
    </row>
    <row r="267" spans="1:10" ht="15" customHeight="1" x14ac:dyDescent="0.25">
      <c r="A267" t="s">
        <v>492</v>
      </c>
      <c r="B267" t="s">
        <v>191</v>
      </c>
      <c r="C267" s="9">
        <v>45952</v>
      </c>
      <c r="D267" s="9">
        <v>45968</v>
      </c>
      <c r="E267">
        <v>0</v>
      </c>
      <c r="F267">
        <v>2216</v>
      </c>
      <c r="G267">
        <v>185</v>
      </c>
      <c r="H267" s="10">
        <v>351.72</v>
      </c>
      <c r="I267">
        <v>-3.4000000000000002E-2</v>
      </c>
      <c r="J267">
        <v>2</v>
      </c>
    </row>
    <row r="268" spans="1:10" ht="15" customHeight="1" x14ac:dyDescent="0.25">
      <c r="A268" t="s">
        <v>493</v>
      </c>
      <c r="B268" t="s">
        <v>116</v>
      </c>
      <c r="C268" s="9">
        <v>45930</v>
      </c>
      <c r="D268" s="9">
        <v>45941</v>
      </c>
      <c r="E268">
        <v>0</v>
      </c>
      <c r="F268">
        <v>2706</v>
      </c>
      <c r="G268">
        <v>59</v>
      </c>
      <c r="H268" s="10">
        <v>160.86000000000001</v>
      </c>
      <c r="I268">
        <v>6.6000000000000003E-2</v>
      </c>
      <c r="J268">
        <v>4</v>
      </c>
    </row>
    <row r="269" spans="1:10" ht="15" customHeight="1" x14ac:dyDescent="0.25">
      <c r="A269" t="s">
        <v>494</v>
      </c>
      <c r="B269" t="s">
        <v>179</v>
      </c>
      <c r="C269" s="9">
        <v>46047</v>
      </c>
      <c r="D269" s="9">
        <v>46052</v>
      </c>
      <c r="E269">
        <v>0</v>
      </c>
      <c r="F269">
        <v>2023</v>
      </c>
      <c r="G269">
        <v>175</v>
      </c>
      <c r="H269" s="10">
        <v>76.52</v>
      </c>
      <c r="I269">
        <v>0.04</v>
      </c>
      <c r="J269">
        <v>1</v>
      </c>
    </row>
    <row r="270" spans="1:10" ht="15" customHeight="1" x14ac:dyDescent="0.25">
      <c r="A270" t="s">
        <v>495</v>
      </c>
      <c r="B270" t="s">
        <v>147</v>
      </c>
      <c r="C270" s="9">
        <v>45891</v>
      </c>
      <c r="D270" s="9">
        <v>45896</v>
      </c>
      <c r="E270">
        <v>0</v>
      </c>
      <c r="F270">
        <v>2852</v>
      </c>
      <c r="G270">
        <v>206</v>
      </c>
      <c r="H270" s="10">
        <v>259.94</v>
      </c>
      <c r="I270">
        <v>-4.9000000000000002E-2</v>
      </c>
      <c r="J270">
        <v>2</v>
      </c>
    </row>
    <row r="271" spans="1:10" ht="15" customHeight="1" x14ac:dyDescent="0.25">
      <c r="A271" t="s">
        <v>496</v>
      </c>
      <c r="B271" t="s">
        <v>179</v>
      </c>
      <c r="C271" s="9">
        <v>45991</v>
      </c>
      <c r="D271" s="9">
        <v>46007</v>
      </c>
      <c r="E271">
        <v>0</v>
      </c>
      <c r="F271">
        <v>4490</v>
      </c>
      <c r="G271">
        <v>421</v>
      </c>
      <c r="H271" s="10">
        <v>395.92</v>
      </c>
      <c r="I271">
        <v>3.9E-2</v>
      </c>
      <c r="J271">
        <v>2</v>
      </c>
    </row>
    <row r="272" spans="1:10" ht="15" customHeight="1" x14ac:dyDescent="0.25">
      <c r="A272" t="s">
        <v>497</v>
      </c>
      <c r="B272" t="s">
        <v>133</v>
      </c>
      <c r="C272" s="9">
        <v>45951</v>
      </c>
      <c r="D272" s="9">
        <v>45971</v>
      </c>
      <c r="E272">
        <v>0</v>
      </c>
      <c r="F272">
        <v>3055</v>
      </c>
      <c r="G272">
        <v>102</v>
      </c>
      <c r="H272" s="10">
        <v>403.28</v>
      </c>
      <c r="I272">
        <v>0.01</v>
      </c>
      <c r="J272">
        <v>4</v>
      </c>
    </row>
    <row r="273" spans="1:10" ht="15" customHeight="1" x14ac:dyDescent="0.25">
      <c r="A273" t="s">
        <v>498</v>
      </c>
      <c r="B273" t="s">
        <v>164</v>
      </c>
      <c r="C273" s="9">
        <v>45771</v>
      </c>
      <c r="D273" s="9">
        <v>45777</v>
      </c>
      <c r="E273">
        <v>0</v>
      </c>
      <c r="F273">
        <v>2094</v>
      </c>
      <c r="G273">
        <v>67</v>
      </c>
      <c r="H273" s="10">
        <v>386.34</v>
      </c>
      <c r="I273">
        <v>-2.4E-2</v>
      </c>
      <c r="J273">
        <v>5</v>
      </c>
    </row>
    <row r="274" spans="1:10" ht="15" customHeight="1" x14ac:dyDescent="0.25">
      <c r="A274" t="s">
        <v>499</v>
      </c>
      <c r="B274" t="s">
        <v>133</v>
      </c>
      <c r="C274" s="9">
        <v>45816</v>
      </c>
      <c r="D274" s="9">
        <v>45831</v>
      </c>
      <c r="E274">
        <v>0</v>
      </c>
      <c r="F274">
        <v>247</v>
      </c>
      <c r="G274">
        <v>10</v>
      </c>
      <c r="H274" s="10">
        <v>725.88</v>
      </c>
      <c r="I274">
        <v>-3.5000000000000003E-2</v>
      </c>
      <c r="J274">
        <v>1</v>
      </c>
    </row>
    <row r="275" spans="1:10" ht="15" customHeight="1" x14ac:dyDescent="0.25">
      <c r="A275" t="s">
        <v>500</v>
      </c>
      <c r="B275" t="s">
        <v>208</v>
      </c>
      <c r="C275" s="9">
        <v>45948</v>
      </c>
      <c r="D275" s="9">
        <v>45956</v>
      </c>
      <c r="E275">
        <v>0</v>
      </c>
      <c r="F275">
        <v>2082</v>
      </c>
      <c r="G275">
        <v>176</v>
      </c>
      <c r="H275" s="10">
        <v>48.87</v>
      </c>
      <c r="I275">
        <v>3.5999999999999997E-2</v>
      </c>
      <c r="J275">
        <v>2</v>
      </c>
    </row>
    <row r="276" spans="1:10" ht="15" customHeight="1" x14ac:dyDescent="0.25">
      <c r="A276" t="s">
        <v>501</v>
      </c>
      <c r="B276" t="s">
        <v>197</v>
      </c>
      <c r="C276" s="9">
        <v>45799</v>
      </c>
      <c r="D276" s="9">
        <v>45810</v>
      </c>
      <c r="E276">
        <v>0</v>
      </c>
      <c r="F276">
        <v>478</v>
      </c>
      <c r="G276">
        <v>30</v>
      </c>
      <c r="H276" s="10">
        <v>193.33</v>
      </c>
      <c r="I276">
        <v>5.5E-2</v>
      </c>
      <c r="J276">
        <v>4</v>
      </c>
    </row>
    <row r="277" spans="1:10" ht="15" customHeight="1" x14ac:dyDescent="0.25">
      <c r="A277" t="s">
        <v>502</v>
      </c>
      <c r="B277" t="s">
        <v>189</v>
      </c>
      <c r="C277" s="9">
        <v>45934</v>
      </c>
      <c r="D277" s="9">
        <v>45952</v>
      </c>
      <c r="E277">
        <v>0</v>
      </c>
      <c r="F277">
        <v>1725</v>
      </c>
      <c r="G277">
        <v>113</v>
      </c>
      <c r="H277" s="10">
        <v>624.36</v>
      </c>
      <c r="I277">
        <v>-2.4E-2</v>
      </c>
      <c r="J277">
        <v>2</v>
      </c>
    </row>
    <row r="278" spans="1:10" ht="15" customHeight="1" x14ac:dyDescent="0.25">
      <c r="A278" t="s">
        <v>503</v>
      </c>
      <c r="B278" t="s">
        <v>207</v>
      </c>
      <c r="C278" s="9">
        <v>46028</v>
      </c>
      <c r="D278" s="9">
        <v>46048</v>
      </c>
      <c r="E278">
        <v>1</v>
      </c>
      <c r="F278">
        <v>1284</v>
      </c>
      <c r="G278">
        <v>62</v>
      </c>
      <c r="H278" s="10">
        <v>113.63</v>
      </c>
      <c r="I278">
        <v>2.4E-2</v>
      </c>
      <c r="J278">
        <v>5</v>
      </c>
    </row>
    <row r="279" spans="1:10" ht="15" customHeight="1" x14ac:dyDescent="0.25">
      <c r="A279" t="s">
        <v>504</v>
      </c>
      <c r="B279" t="s">
        <v>152</v>
      </c>
      <c r="C279" s="9">
        <v>45827</v>
      </c>
      <c r="D279" s="9">
        <v>45836</v>
      </c>
      <c r="E279">
        <v>0</v>
      </c>
      <c r="F279">
        <v>2710</v>
      </c>
      <c r="G279">
        <v>103</v>
      </c>
      <c r="H279" s="10">
        <v>771.36</v>
      </c>
      <c r="I279">
        <v>3.1E-2</v>
      </c>
      <c r="J279">
        <v>4</v>
      </c>
    </row>
    <row r="280" spans="1:10" ht="15" customHeight="1" x14ac:dyDescent="0.25">
      <c r="A280" t="s">
        <v>505</v>
      </c>
      <c r="B280" t="s">
        <v>152</v>
      </c>
      <c r="C280" s="9">
        <v>45915</v>
      </c>
      <c r="D280" s="9">
        <v>45933</v>
      </c>
      <c r="E280">
        <v>0</v>
      </c>
      <c r="F280">
        <v>2515</v>
      </c>
      <c r="G280">
        <v>94</v>
      </c>
      <c r="H280" s="10">
        <v>665.91</v>
      </c>
      <c r="I280">
        <v>5.8000000000000003E-2</v>
      </c>
      <c r="J280">
        <v>1</v>
      </c>
    </row>
    <row r="281" spans="1:10" ht="15" customHeight="1" x14ac:dyDescent="0.25">
      <c r="A281" t="s">
        <v>506</v>
      </c>
      <c r="B281" t="s">
        <v>208</v>
      </c>
      <c r="C281" s="9">
        <v>45871</v>
      </c>
      <c r="D281" s="9">
        <v>45878</v>
      </c>
      <c r="E281">
        <v>0</v>
      </c>
      <c r="F281">
        <v>178</v>
      </c>
      <c r="G281">
        <v>15</v>
      </c>
      <c r="H281" s="10">
        <v>748.38</v>
      </c>
      <c r="I281">
        <v>7.0000000000000001E-3</v>
      </c>
      <c r="J281">
        <v>4</v>
      </c>
    </row>
    <row r="282" spans="1:10" ht="15" customHeight="1" x14ac:dyDescent="0.25">
      <c r="A282" t="s">
        <v>507</v>
      </c>
      <c r="B282" t="s">
        <v>203</v>
      </c>
      <c r="C282" s="9">
        <v>45837</v>
      </c>
      <c r="D282" s="9">
        <v>45842</v>
      </c>
      <c r="E282">
        <v>0</v>
      </c>
      <c r="F282">
        <v>3132</v>
      </c>
      <c r="G282">
        <v>0</v>
      </c>
      <c r="H282" s="10">
        <v>627.28</v>
      </c>
      <c r="I282">
        <v>-1.7000000000000001E-2</v>
      </c>
      <c r="J282">
        <v>2</v>
      </c>
    </row>
    <row r="283" spans="1:10" ht="15" customHeight="1" x14ac:dyDescent="0.25">
      <c r="A283" t="s">
        <v>508</v>
      </c>
      <c r="B283" t="s">
        <v>150</v>
      </c>
      <c r="C283" s="9">
        <v>45814</v>
      </c>
      <c r="D283" s="9">
        <v>45829</v>
      </c>
      <c r="E283">
        <v>0</v>
      </c>
      <c r="F283">
        <v>3698</v>
      </c>
      <c r="G283">
        <v>162</v>
      </c>
      <c r="H283" s="10">
        <v>394.24</v>
      </c>
      <c r="I283">
        <v>-1.2999999999999999E-2</v>
      </c>
      <c r="J283">
        <v>5</v>
      </c>
    </row>
    <row r="284" spans="1:10" ht="15" customHeight="1" x14ac:dyDescent="0.25">
      <c r="A284" t="s">
        <v>509</v>
      </c>
      <c r="B284" t="s">
        <v>137</v>
      </c>
      <c r="C284" s="9">
        <v>45959</v>
      </c>
      <c r="D284" s="9">
        <v>45972</v>
      </c>
      <c r="E284">
        <v>0</v>
      </c>
      <c r="F284">
        <v>3093</v>
      </c>
      <c r="G284">
        <v>172</v>
      </c>
      <c r="H284" s="10">
        <v>298</v>
      </c>
      <c r="I284">
        <v>5.8999999999999997E-2</v>
      </c>
      <c r="J284">
        <v>5</v>
      </c>
    </row>
    <row r="285" spans="1:10" ht="15" customHeight="1" x14ac:dyDescent="0.25">
      <c r="A285" t="s">
        <v>510</v>
      </c>
      <c r="B285" t="s">
        <v>150</v>
      </c>
      <c r="C285" s="9">
        <v>45921</v>
      </c>
      <c r="D285" s="9">
        <v>45926</v>
      </c>
      <c r="E285">
        <v>0</v>
      </c>
      <c r="F285">
        <v>4376</v>
      </c>
      <c r="G285">
        <v>170</v>
      </c>
      <c r="H285" s="10">
        <v>327.56</v>
      </c>
      <c r="I285">
        <v>2.3E-2</v>
      </c>
      <c r="J285">
        <v>4</v>
      </c>
    </row>
    <row r="286" spans="1:10" ht="15" customHeight="1" x14ac:dyDescent="0.25">
      <c r="A286" t="s">
        <v>511</v>
      </c>
      <c r="B286" t="s">
        <v>205</v>
      </c>
      <c r="C286" s="9">
        <v>46013</v>
      </c>
      <c r="D286" s="9">
        <v>46032</v>
      </c>
      <c r="E286">
        <v>0</v>
      </c>
      <c r="F286">
        <v>1177</v>
      </c>
      <c r="G286">
        <v>22</v>
      </c>
      <c r="H286" s="10">
        <v>126.4</v>
      </c>
      <c r="I286">
        <v>-3.4000000000000002E-2</v>
      </c>
      <c r="J286">
        <v>1</v>
      </c>
    </row>
    <row r="287" spans="1:10" ht="15" customHeight="1" x14ac:dyDescent="0.25">
      <c r="A287" t="s">
        <v>512</v>
      </c>
      <c r="B287" t="s">
        <v>193</v>
      </c>
      <c r="C287" s="9">
        <v>46010</v>
      </c>
      <c r="D287" s="9">
        <v>46015</v>
      </c>
      <c r="E287">
        <v>0</v>
      </c>
      <c r="F287">
        <v>2215</v>
      </c>
      <c r="G287">
        <v>195</v>
      </c>
      <c r="H287" s="10">
        <v>243.09</v>
      </c>
      <c r="I287">
        <v>0.02</v>
      </c>
      <c r="J287">
        <v>3</v>
      </c>
    </row>
    <row r="288" spans="1:10" ht="15" customHeight="1" x14ac:dyDescent="0.25">
      <c r="A288" t="s">
        <v>513</v>
      </c>
      <c r="B288" t="s">
        <v>197</v>
      </c>
      <c r="C288" s="9">
        <v>45953</v>
      </c>
      <c r="D288" s="9">
        <v>45958</v>
      </c>
      <c r="E288">
        <v>0</v>
      </c>
      <c r="F288">
        <v>4331</v>
      </c>
      <c r="G288">
        <v>191</v>
      </c>
      <c r="H288" s="10">
        <v>432.28</v>
      </c>
      <c r="I288">
        <v>-2.8000000000000001E-2</v>
      </c>
      <c r="J288">
        <v>3</v>
      </c>
    </row>
    <row r="289" spans="1:10" ht="15" customHeight="1" x14ac:dyDescent="0.25">
      <c r="A289" t="s">
        <v>514</v>
      </c>
      <c r="B289" t="s">
        <v>175</v>
      </c>
      <c r="C289" s="9">
        <v>45970</v>
      </c>
      <c r="D289" s="9">
        <v>45987</v>
      </c>
      <c r="E289">
        <v>0</v>
      </c>
      <c r="F289">
        <v>3895</v>
      </c>
      <c r="G289">
        <v>326</v>
      </c>
      <c r="H289" s="10">
        <v>306.67</v>
      </c>
      <c r="I289">
        <v>0.03</v>
      </c>
      <c r="J289">
        <v>2</v>
      </c>
    </row>
    <row r="290" spans="1:10" ht="15" customHeight="1" x14ac:dyDescent="0.25">
      <c r="A290" t="s">
        <v>515</v>
      </c>
      <c r="B290" t="s">
        <v>197</v>
      </c>
      <c r="C290" s="9">
        <v>45846</v>
      </c>
      <c r="D290" s="9">
        <v>45853</v>
      </c>
      <c r="E290">
        <v>0</v>
      </c>
      <c r="F290">
        <v>4554</v>
      </c>
      <c r="G290">
        <v>233</v>
      </c>
      <c r="H290" s="10">
        <v>471.27</v>
      </c>
      <c r="I290">
        <v>3.7999999999999999E-2</v>
      </c>
      <c r="J290">
        <v>2</v>
      </c>
    </row>
    <row r="291" spans="1:10" ht="15" customHeight="1" x14ac:dyDescent="0.25">
      <c r="A291" t="s">
        <v>516</v>
      </c>
      <c r="B291" t="s">
        <v>152</v>
      </c>
      <c r="C291" s="9">
        <v>46000</v>
      </c>
      <c r="D291" s="9">
        <v>46020</v>
      </c>
      <c r="E291">
        <v>0</v>
      </c>
      <c r="F291">
        <v>2620</v>
      </c>
      <c r="G291">
        <v>167</v>
      </c>
      <c r="H291" s="10">
        <v>525.1</v>
      </c>
      <c r="I291">
        <v>-4.9000000000000002E-2</v>
      </c>
      <c r="J291">
        <v>4</v>
      </c>
    </row>
    <row r="292" spans="1:10" ht="15" customHeight="1" x14ac:dyDescent="0.25">
      <c r="A292" t="s">
        <v>517</v>
      </c>
      <c r="B292" t="s">
        <v>208</v>
      </c>
      <c r="C292" s="9">
        <v>45820</v>
      </c>
      <c r="D292" s="9">
        <v>45838</v>
      </c>
      <c r="E292">
        <v>0</v>
      </c>
      <c r="F292">
        <v>789</v>
      </c>
      <c r="G292">
        <v>45</v>
      </c>
      <c r="H292" s="10">
        <v>390.11</v>
      </c>
      <c r="I292">
        <v>5.0999999999999997E-2</v>
      </c>
      <c r="J292">
        <v>4</v>
      </c>
    </row>
    <row r="293" spans="1:10" ht="15" customHeight="1" x14ac:dyDescent="0.25">
      <c r="A293" t="s">
        <v>518</v>
      </c>
      <c r="B293" t="s">
        <v>203</v>
      </c>
      <c r="C293" s="9">
        <v>46084</v>
      </c>
      <c r="D293" s="9">
        <v>46100</v>
      </c>
      <c r="E293">
        <v>0</v>
      </c>
      <c r="F293">
        <v>1537</v>
      </c>
      <c r="G293">
        <v>28</v>
      </c>
      <c r="H293" s="10">
        <v>740.95</v>
      </c>
      <c r="I293">
        <v>-4.2000000000000003E-2</v>
      </c>
      <c r="J293">
        <v>4</v>
      </c>
    </row>
    <row r="294" spans="1:10" ht="15" customHeight="1" x14ac:dyDescent="0.25">
      <c r="A294" t="s">
        <v>519</v>
      </c>
      <c r="B294" t="s">
        <v>214</v>
      </c>
      <c r="C294" s="9">
        <v>46048</v>
      </c>
      <c r="D294" s="9">
        <v>46058</v>
      </c>
      <c r="E294">
        <v>0</v>
      </c>
      <c r="F294">
        <v>4088</v>
      </c>
      <c r="G294">
        <v>158</v>
      </c>
      <c r="H294" s="10">
        <v>737.57</v>
      </c>
      <c r="I294">
        <v>-3.2000000000000001E-2</v>
      </c>
      <c r="J294">
        <v>4</v>
      </c>
    </row>
    <row r="295" spans="1:10" ht="15" customHeight="1" x14ac:dyDescent="0.25">
      <c r="A295" t="s">
        <v>520</v>
      </c>
      <c r="B295" t="s">
        <v>181</v>
      </c>
      <c r="C295" s="9">
        <v>45779</v>
      </c>
      <c r="D295" s="9">
        <v>45798</v>
      </c>
      <c r="E295">
        <v>0</v>
      </c>
      <c r="F295">
        <v>3891</v>
      </c>
      <c r="G295">
        <v>184</v>
      </c>
      <c r="H295" s="10">
        <v>264.47000000000003</v>
      </c>
      <c r="I295">
        <v>7.0999999999999994E-2</v>
      </c>
      <c r="J295">
        <v>5</v>
      </c>
    </row>
    <row r="296" spans="1:10" ht="15" customHeight="1" x14ac:dyDescent="0.25">
      <c r="A296" t="s">
        <v>521</v>
      </c>
      <c r="B296" t="s">
        <v>122</v>
      </c>
      <c r="C296" s="9">
        <v>46036</v>
      </c>
      <c r="D296" s="9">
        <v>46047</v>
      </c>
      <c r="E296">
        <v>3</v>
      </c>
      <c r="F296">
        <v>2866</v>
      </c>
      <c r="G296">
        <v>260</v>
      </c>
      <c r="H296" s="10">
        <v>291.82</v>
      </c>
      <c r="I296">
        <v>4.0000000000000001E-3</v>
      </c>
      <c r="J296">
        <v>3</v>
      </c>
    </row>
    <row r="297" spans="1:10" ht="15" customHeight="1" x14ac:dyDescent="0.25">
      <c r="A297" t="s">
        <v>522</v>
      </c>
      <c r="B297" t="s">
        <v>216</v>
      </c>
      <c r="C297" s="9">
        <v>45781</v>
      </c>
      <c r="D297" s="9">
        <v>45797</v>
      </c>
      <c r="E297">
        <v>0</v>
      </c>
      <c r="F297">
        <v>856</v>
      </c>
      <c r="G297">
        <v>46</v>
      </c>
      <c r="H297" s="10">
        <v>199.08</v>
      </c>
      <c r="I297">
        <v>1.2999999999999999E-2</v>
      </c>
      <c r="J297">
        <v>5</v>
      </c>
    </row>
    <row r="298" spans="1:10" ht="15" customHeight="1" x14ac:dyDescent="0.25">
      <c r="A298" t="s">
        <v>523</v>
      </c>
      <c r="B298" t="s">
        <v>208</v>
      </c>
      <c r="C298" s="9">
        <v>45948</v>
      </c>
      <c r="D298" s="9">
        <v>45954</v>
      </c>
      <c r="E298">
        <v>0</v>
      </c>
      <c r="F298">
        <v>4202</v>
      </c>
      <c r="G298">
        <v>376</v>
      </c>
      <c r="H298" s="10">
        <v>146.32</v>
      </c>
      <c r="I298">
        <v>-4.9000000000000002E-2</v>
      </c>
      <c r="J298">
        <v>3</v>
      </c>
    </row>
    <row r="299" spans="1:10" ht="15" customHeight="1" x14ac:dyDescent="0.25">
      <c r="A299" t="s">
        <v>524</v>
      </c>
      <c r="B299" t="s">
        <v>130</v>
      </c>
      <c r="C299" s="9">
        <v>45801</v>
      </c>
      <c r="D299" s="9">
        <v>45807</v>
      </c>
      <c r="E299">
        <v>0</v>
      </c>
      <c r="F299">
        <v>451</v>
      </c>
      <c r="G299">
        <v>22</v>
      </c>
      <c r="H299" s="10">
        <v>817.24</v>
      </c>
      <c r="I299">
        <v>6.9000000000000006E-2</v>
      </c>
      <c r="J299">
        <v>2</v>
      </c>
    </row>
    <row r="300" spans="1:10" ht="15" customHeight="1" x14ac:dyDescent="0.25">
      <c r="A300" t="s">
        <v>525</v>
      </c>
      <c r="B300" t="s">
        <v>164</v>
      </c>
      <c r="C300" s="9">
        <v>45861</v>
      </c>
      <c r="D300" s="9">
        <v>45881</v>
      </c>
      <c r="E300">
        <v>0</v>
      </c>
      <c r="F300">
        <v>4954</v>
      </c>
      <c r="G300">
        <v>169</v>
      </c>
      <c r="H300" s="10">
        <v>737.04</v>
      </c>
      <c r="I300">
        <v>0.08</v>
      </c>
      <c r="J300">
        <v>2</v>
      </c>
    </row>
    <row r="301" spans="1:10" ht="15" customHeight="1" x14ac:dyDescent="0.25">
      <c r="A301" t="s">
        <v>526</v>
      </c>
      <c r="B301" t="s">
        <v>181</v>
      </c>
      <c r="C301" s="9">
        <v>45952</v>
      </c>
      <c r="D301" s="9">
        <v>45964</v>
      </c>
      <c r="E301">
        <v>0</v>
      </c>
      <c r="F301">
        <v>1899</v>
      </c>
      <c r="G301">
        <v>102</v>
      </c>
      <c r="H301" s="10">
        <v>611.66</v>
      </c>
      <c r="I301">
        <v>0.04</v>
      </c>
      <c r="J301">
        <v>5</v>
      </c>
    </row>
    <row r="302" spans="1:10" ht="15" customHeight="1" x14ac:dyDescent="0.25">
      <c r="A302" t="s">
        <v>527</v>
      </c>
      <c r="B302" t="s">
        <v>200</v>
      </c>
      <c r="C302" s="9">
        <v>46068</v>
      </c>
      <c r="D302" s="9">
        <v>46077</v>
      </c>
      <c r="E302">
        <v>0</v>
      </c>
      <c r="F302">
        <v>2136</v>
      </c>
      <c r="G302">
        <v>102</v>
      </c>
      <c r="H302" s="10">
        <v>502.84</v>
      </c>
      <c r="I302">
        <v>1E-3</v>
      </c>
      <c r="J302">
        <v>2</v>
      </c>
    </row>
    <row r="303" spans="1:10" ht="15" customHeight="1" x14ac:dyDescent="0.25">
      <c r="A303" t="s">
        <v>528</v>
      </c>
      <c r="B303" t="s">
        <v>161</v>
      </c>
      <c r="C303" s="9">
        <v>45782</v>
      </c>
      <c r="D303" s="9">
        <v>45801</v>
      </c>
      <c r="E303">
        <v>0</v>
      </c>
      <c r="F303">
        <v>2156</v>
      </c>
      <c r="G303">
        <v>206</v>
      </c>
      <c r="H303" s="10">
        <v>474.96</v>
      </c>
      <c r="I303">
        <v>4.2999999999999997E-2</v>
      </c>
      <c r="J303">
        <v>3</v>
      </c>
    </row>
    <row r="304" spans="1:10" ht="15" customHeight="1" x14ac:dyDescent="0.25">
      <c r="A304" t="s">
        <v>529</v>
      </c>
      <c r="B304" t="s">
        <v>214</v>
      </c>
      <c r="C304" s="9">
        <v>45982</v>
      </c>
      <c r="D304" s="9">
        <v>46001</v>
      </c>
      <c r="E304">
        <v>0</v>
      </c>
      <c r="F304">
        <v>739</v>
      </c>
      <c r="G304">
        <v>37</v>
      </c>
      <c r="H304" s="10">
        <v>531.59</v>
      </c>
      <c r="I304">
        <v>7.0000000000000001E-3</v>
      </c>
      <c r="J304">
        <v>2</v>
      </c>
    </row>
    <row r="305" spans="1:10" ht="15" customHeight="1" x14ac:dyDescent="0.25">
      <c r="A305" t="s">
        <v>530</v>
      </c>
      <c r="B305" t="s">
        <v>186</v>
      </c>
      <c r="C305" s="9">
        <v>45995</v>
      </c>
      <c r="D305" s="9">
        <v>46005</v>
      </c>
      <c r="E305">
        <v>0</v>
      </c>
      <c r="F305">
        <v>2493</v>
      </c>
      <c r="G305">
        <v>265</v>
      </c>
      <c r="H305" s="10">
        <v>492.87</v>
      </c>
      <c r="I305">
        <v>-3.5999999999999997E-2</v>
      </c>
      <c r="J305">
        <v>1</v>
      </c>
    </row>
    <row r="306" spans="1:10" ht="15" customHeight="1" x14ac:dyDescent="0.25">
      <c r="A306" t="s">
        <v>531</v>
      </c>
      <c r="B306" t="s">
        <v>200</v>
      </c>
      <c r="C306" s="9">
        <v>45953</v>
      </c>
      <c r="D306" s="9">
        <v>45959</v>
      </c>
      <c r="E306">
        <v>0</v>
      </c>
      <c r="F306">
        <v>3562</v>
      </c>
      <c r="G306">
        <v>252</v>
      </c>
      <c r="H306" s="10">
        <v>370.53</v>
      </c>
      <c r="I306">
        <v>8.0000000000000002E-3</v>
      </c>
      <c r="J306">
        <v>1</v>
      </c>
    </row>
    <row r="307" spans="1:10" ht="15" customHeight="1" x14ac:dyDescent="0.25">
      <c r="A307" t="s">
        <v>532</v>
      </c>
      <c r="B307" t="s">
        <v>122</v>
      </c>
      <c r="C307" s="9">
        <v>46067</v>
      </c>
      <c r="D307" s="9">
        <v>46085</v>
      </c>
      <c r="E307">
        <v>0</v>
      </c>
      <c r="F307">
        <v>1933</v>
      </c>
      <c r="G307">
        <v>181</v>
      </c>
      <c r="H307" s="10">
        <v>90.91</v>
      </c>
      <c r="I307">
        <v>-2.8000000000000001E-2</v>
      </c>
      <c r="J307">
        <v>3</v>
      </c>
    </row>
    <row r="308" spans="1:10" ht="15" customHeight="1" x14ac:dyDescent="0.25">
      <c r="A308" t="s">
        <v>533</v>
      </c>
      <c r="B308" t="s">
        <v>171</v>
      </c>
      <c r="C308" s="9">
        <v>45778</v>
      </c>
      <c r="D308" s="9">
        <v>45783</v>
      </c>
      <c r="E308">
        <v>0</v>
      </c>
      <c r="F308">
        <v>1900</v>
      </c>
      <c r="G308">
        <v>161</v>
      </c>
      <c r="H308" s="10">
        <v>92.72</v>
      </c>
      <c r="I308">
        <v>2.1000000000000001E-2</v>
      </c>
      <c r="J308">
        <v>3</v>
      </c>
    </row>
    <row r="309" spans="1:10" ht="15" customHeight="1" x14ac:dyDescent="0.25">
      <c r="A309" t="s">
        <v>534</v>
      </c>
      <c r="B309" t="s">
        <v>128</v>
      </c>
      <c r="C309" s="9">
        <v>45778</v>
      </c>
      <c r="D309" s="9">
        <v>45791</v>
      </c>
      <c r="E309">
        <v>1</v>
      </c>
      <c r="F309">
        <v>1078</v>
      </c>
      <c r="G309">
        <v>63</v>
      </c>
      <c r="H309" s="10">
        <v>532.54999999999995</v>
      </c>
      <c r="I309">
        <v>6.9000000000000006E-2</v>
      </c>
      <c r="J309">
        <v>4</v>
      </c>
    </row>
    <row r="310" spans="1:10" ht="15" customHeight="1" x14ac:dyDescent="0.25">
      <c r="A310" t="s">
        <v>535</v>
      </c>
      <c r="B310" t="s">
        <v>207</v>
      </c>
      <c r="C310" s="9">
        <v>45808</v>
      </c>
      <c r="D310" s="9">
        <v>45821</v>
      </c>
      <c r="E310">
        <v>0</v>
      </c>
      <c r="F310">
        <v>1793</v>
      </c>
      <c r="G310">
        <v>58</v>
      </c>
      <c r="H310" s="10">
        <v>665.37</v>
      </c>
      <c r="I310">
        <v>5.2999999999999999E-2</v>
      </c>
      <c r="J310">
        <v>3</v>
      </c>
    </row>
    <row r="311" spans="1:10" ht="15" customHeight="1" x14ac:dyDescent="0.25">
      <c r="A311" t="s">
        <v>536</v>
      </c>
      <c r="B311" t="s">
        <v>128</v>
      </c>
      <c r="C311" s="9">
        <v>45921</v>
      </c>
      <c r="D311" s="9">
        <v>45936</v>
      </c>
      <c r="E311">
        <v>0</v>
      </c>
      <c r="F311">
        <v>4266</v>
      </c>
      <c r="G311">
        <v>192</v>
      </c>
      <c r="H311" s="10">
        <v>662.71</v>
      </c>
      <c r="I311">
        <v>-0.03</v>
      </c>
      <c r="J311">
        <v>3</v>
      </c>
    </row>
    <row r="312" spans="1:10" ht="15" customHeight="1" x14ac:dyDescent="0.25">
      <c r="A312" t="s">
        <v>537</v>
      </c>
      <c r="B312" t="s">
        <v>176</v>
      </c>
      <c r="C312" s="9">
        <v>46077</v>
      </c>
      <c r="D312" s="9">
        <v>46091</v>
      </c>
      <c r="E312">
        <v>0</v>
      </c>
      <c r="F312">
        <v>3996</v>
      </c>
      <c r="G312">
        <v>51</v>
      </c>
      <c r="H312" s="10">
        <v>638.34</v>
      </c>
      <c r="I312">
        <v>7.8E-2</v>
      </c>
      <c r="J312">
        <v>5</v>
      </c>
    </row>
    <row r="313" spans="1:10" ht="15" customHeight="1" x14ac:dyDescent="0.25">
      <c r="A313" t="s">
        <v>538</v>
      </c>
      <c r="B313" t="s">
        <v>130</v>
      </c>
      <c r="C313" s="9">
        <v>46053</v>
      </c>
      <c r="D313" s="9">
        <v>46060</v>
      </c>
      <c r="E313">
        <v>0</v>
      </c>
      <c r="F313">
        <v>1117</v>
      </c>
      <c r="G313">
        <v>71</v>
      </c>
      <c r="H313" s="10">
        <v>281.45999999999998</v>
      </c>
      <c r="I313">
        <v>-1.2E-2</v>
      </c>
      <c r="J313">
        <v>1</v>
      </c>
    </row>
    <row r="314" spans="1:10" ht="15" customHeight="1" x14ac:dyDescent="0.25">
      <c r="A314" t="s">
        <v>539</v>
      </c>
      <c r="B314" t="s">
        <v>199</v>
      </c>
      <c r="C314" s="9">
        <v>45855</v>
      </c>
      <c r="D314" s="9">
        <v>45861</v>
      </c>
      <c r="E314">
        <v>0</v>
      </c>
      <c r="F314">
        <v>4003</v>
      </c>
      <c r="G314">
        <v>148</v>
      </c>
      <c r="H314" s="10">
        <v>149.63999999999999</v>
      </c>
      <c r="I314">
        <v>2.8000000000000001E-2</v>
      </c>
      <c r="J314">
        <v>1</v>
      </c>
    </row>
    <row r="315" spans="1:10" ht="15" customHeight="1" x14ac:dyDescent="0.25">
      <c r="A315" t="s">
        <v>540</v>
      </c>
      <c r="B315" t="s">
        <v>161</v>
      </c>
      <c r="C315" s="9">
        <v>46058</v>
      </c>
      <c r="D315" s="9">
        <v>46063</v>
      </c>
      <c r="E315">
        <v>0</v>
      </c>
      <c r="F315">
        <v>3239</v>
      </c>
      <c r="G315">
        <v>279</v>
      </c>
      <c r="H315" s="10">
        <v>153.46</v>
      </c>
      <c r="I315">
        <v>5.0000000000000001E-3</v>
      </c>
      <c r="J315">
        <v>2</v>
      </c>
    </row>
    <row r="316" spans="1:10" ht="15" customHeight="1" x14ac:dyDescent="0.25">
      <c r="A316" t="s">
        <v>541</v>
      </c>
      <c r="B316" t="s">
        <v>216</v>
      </c>
      <c r="C316" s="9">
        <v>45867</v>
      </c>
      <c r="D316" s="9">
        <v>45884</v>
      </c>
      <c r="E316">
        <v>0</v>
      </c>
      <c r="F316">
        <v>469</v>
      </c>
      <c r="G316">
        <v>28</v>
      </c>
      <c r="H316" s="10">
        <v>861.86</v>
      </c>
      <c r="I316">
        <v>8.9999999999999993E-3</v>
      </c>
      <c r="J316">
        <v>5</v>
      </c>
    </row>
    <row r="317" spans="1:10" ht="15" customHeight="1" x14ac:dyDescent="0.25">
      <c r="A317" t="s">
        <v>542</v>
      </c>
      <c r="B317" t="s">
        <v>197</v>
      </c>
      <c r="C317" s="9">
        <v>46056</v>
      </c>
      <c r="D317" s="9">
        <v>46073</v>
      </c>
      <c r="E317">
        <v>0</v>
      </c>
      <c r="F317">
        <v>763</v>
      </c>
      <c r="G317">
        <v>38</v>
      </c>
      <c r="H317" s="10">
        <v>701.27</v>
      </c>
      <c r="I317">
        <v>-3.4000000000000002E-2</v>
      </c>
      <c r="J317">
        <v>1</v>
      </c>
    </row>
    <row r="318" spans="1:10" ht="15" customHeight="1" x14ac:dyDescent="0.25">
      <c r="A318" t="s">
        <v>543</v>
      </c>
      <c r="B318" t="s">
        <v>167</v>
      </c>
      <c r="C318" s="9">
        <v>46067</v>
      </c>
      <c r="D318" s="9">
        <v>46086</v>
      </c>
      <c r="E318">
        <v>0</v>
      </c>
      <c r="F318">
        <v>2988</v>
      </c>
      <c r="G318">
        <v>140</v>
      </c>
      <c r="H318" s="10">
        <v>856.01</v>
      </c>
      <c r="I318">
        <v>-4.2999999999999997E-2</v>
      </c>
      <c r="J318">
        <v>5</v>
      </c>
    </row>
    <row r="319" spans="1:10" ht="15" customHeight="1" x14ac:dyDescent="0.25">
      <c r="A319" t="s">
        <v>544</v>
      </c>
      <c r="B319" t="s">
        <v>128</v>
      </c>
      <c r="C319" s="9">
        <v>46023</v>
      </c>
      <c r="D319" s="9">
        <v>46034</v>
      </c>
      <c r="E319">
        <v>0</v>
      </c>
      <c r="F319">
        <v>2842</v>
      </c>
      <c r="G319">
        <v>252</v>
      </c>
      <c r="H319" s="10">
        <v>524.29999999999995</v>
      </c>
      <c r="I319">
        <v>5.3999999999999999E-2</v>
      </c>
      <c r="J319">
        <v>3</v>
      </c>
    </row>
    <row r="320" spans="1:10" ht="15" customHeight="1" x14ac:dyDescent="0.25">
      <c r="A320" t="s">
        <v>545</v>
      </c>
      <c r="B320" t="s">
        <v>181</v>
      </c>
      <c r="C320" s="9">
        <v>45846</v>
      </c>
      <c r="D320" s="9">
        <v>45863</v>
      </c>
      <c r="E320">
        <v>1</v>
      </c>
      <c r="F320">
        <v>3338</v>
      </c>
      <c r="G320">
        <v>253</v>
      </c>
      <c r="H320" s="10">
        <v>526.66999999999996</v>
      </c>
      <c r="I320">
        <v>0.06</v>
      </c>
      <c r="J320">
        <v>4</v>
      </c>
    </row>
    <row r="321" spans="1:10" ht="15" customHeight="1" x14ac:dyDescent="0.25">
      <c r="A321" t="s">
        <v>546</v>
      </c>
      <c r="B321" t="s">
        <v>147</v>
      </c>
      <c r="C321" s="9">
        <v>46060</v>
      </c>
      <c r="D321" s="9">
        <v>46065</v>
      </c>
      <c r="E321">
        <v>0</v>
      </c>
      <c r="F321">
        <v>4195</v>
      </c>
      <c r="G321">
        <v>417</v>
      </c>
      <c r="H321" s="10">
        <v>230.31</v>
      </c>
      <c r="I321">
        <v>7.0000000000000007E-2</v>
      </c>
      <c r="J321">
        <v>3</v>
      </c>
    </row>
    <row r="322" spans="1:10" ht="15" customHeight="1" x14ac:dyDescent="0.25">
      <c r="A322" t="s">
        <v>547</v>
      </c>
      <c r="B322" t="s">
        <v>164</v>
      </c>
      <c r="C322" s="9">
        <v>46068</v>
      </c>
      <c r="D322" s="9">
        <v>46086</v>
      </c>
      <c r="E322">
        <v>0</v>
      </c>
      <c r="F322">
        <v>540</v>
      </c>
      <c r="G322">
        <v>17</v>
      </c>
      <c r="H322" s="10">
        <v>306.89</v>
      </c>
      <c r="I322">
        <v>-5.0000000000000001E-3</v>
      </c>
      <c r="J322">
        <v>5</v>
      </c>
    </row>
    <row r="323" spans="1:10" ht="15" customHeight="1" x14ac:dyDescent="0.25">
      <c r="A323" t="s">
        <v>548</v>
      </c>
      <c r="B323" t="s">
        <v>164</v>
      </c>
      <c r="C323" s="9">
        <v>45984</v>
      </c>
      <c r="D323" s="9">
        <v>45994</v>
      </c>
      <c r="E323">
        <v>0</v>
      </c>
      <c r="F323">
        <v>299</v>
      </c>
      <c r="G323">
        <v>12</v>
      </c>
      <c r="H323" s="10">
        <v>459.87</v>
      </c>
      <c r="I323">
        <v>7.3999999999999996E-2</v>
      </c>
      <c r="J323">
        <v>3</v>
      </c>
    </row>
    <row r="324" spans="1:10" ht="15" customHeight="1" x14ac:dyDescent="0.25">
      <c r="A324" t="s">
        <v>549</v>
      </c>
      <c r="B324" t="s">
        <v>189</v>
      </c>
      <c r="C324" s="9">
        <v>46034</v>
      </c>
      <c r="D324" s="9">
        <v>46047</v>
      </c>
      <c r="E324">
        <v>0</v>
      </c>
      <c r="F324">
        <v>1270</v>
      </c>
      <c r="G324">
        <v>60</v>
      </c>
      <c r="H324" s="10">
        <v>775.87</v>
      </c>
      <c r="I324">
        <v>-2E-3</v>
      </c>
      <c r="J324">
        <v>2</v>
      </c>
    </row>
    <row r="325" spans="1:10" ht="15" customHeight="1" x14ac:dyDescent="0.25">
      <c r="A325" t="s">
        <v>550</v>
      </c>
      <c r="B325" t="s">
        <v>122</v>
      </c>
      <c r="C325" s="9">
        <v>45863</v>
      </c>
      <c r="D325" s="9">
        <v>45879</v>
      </c>
      <c r="E325">
        <v>0</v>
      </c>
      <c r="F325">
        <v>1041</v>
      </c>
      <c r="G325">
        <v>97</v>
      </c>
      <c r="H325" s="10">
        <v>295.27999999999997</v>
      </c>
      <c r="I325">
        <v>-2.5999999999999999E-2</v>
      </c>
      <c r="J325">
        <v>2</v>
      </c>
    </row>
    <row r="326" spans="1:10" ht="15" customHeight="1" x14ac:dyDescent="0.25">
      <c r="A326" t="s">
        <v>551</v>
      </c>
      <c r="B326" t="s">
        <v>181</v>
      </c>
      <c r="C326" s="9">
        <v>46046</v>
      </c>
      <c r="D326" s="9">
        <v>46055</v>
      </c>
      <c r="E326">
        <v>1</v>
      </c>
      <c r="F326">
        <v>958</v>
      </c>
      <c r="G326">
        <v>40</v>
      </c>
      <c r="H326" s="10">
        <v>509.03</v>
      </c>
      <c r="I326">
        <v>-3.4000000000000002E-2</v>
      </c>
      <c r="J326">
        <v>4</v>
      </c>
    </row>
    <row r="327" spans="1:10" ht="15" customHeight="1" x14ac:dyDescent="0.25">
      <c r="A327" t="s">
        <v>552</v>
      </c>
      <c r="B327" t="s">
        <v>203</v>
      </c>
      <c r="C327" s="9">
        <v>45839</v>
      </c>
      <c r="D327" s="9">
        <v>45844</v>
      </c>
      <c r="E327">
        <v>0</v>
      </c>
      <c r="F327">
        <v>3095</v>
      </c>
      <c r="G327">
        <v>11</v>
      </c>
      <c r="H327" s="10">
        <v>52.82</v>
      </c>
      <c r="I327">
        <v>7.4999999999999997E-2</v>
      </c>
      <c r="J327">
        <v>1</v>
      </c>
    </row>
    <row r="328" spans="1:10" ht="15" customHeight="1" x14ac:dyDescent="0.25">
      <c r="A328" t="s">
        <v>553</v>
      </c>
      <c r="B328" t="s">
        <v>203</v>
      </c>
      <c r="C328" s="9">
        <v>45874</v>
      </c>
      <c r="D328" s="9">
        <v>45880</v>
      </c>
      <c r="E328">
        <v>2</v>
      </c>
      <c r="F328">
        <v>3887</v>
      </c>
      <c r="G328">
        <v>32</v>
      </c>
      <c r="H328" s="10">
        <v>533.09</v>
      </c>
      <c r="I328">
        <v>6.0000000000000001E-3</v>
      </c>
      <c r="J328">
        <v>2</v>
      </c>
    </row>
    <row r="329" spans="1:10" ht="15" customHeight="1" x14ac:dyDescent="0.25">
      <c r="A329" t="s">
        <v>554</v>
      </c>
      <c r="B329" t="s">
        <v>147</v>
      </c>
      <c r="C329" s="9">
        <v>45803</v>
      </c>
      <c r="D329" s="9">
        <v>45823</v>
      </c>
      <c r="E329">
        <v>0</v>
      </c>
      <c r="F329">
        <v>1218</v>
      </c>
      <c r="G329">
        <v>99</v>
      </c>
      <c r="H329" s="10">
        <v>266.08999999999997</v>
      </c>
      <c r="I329">
        <v>5.2999999999999999E-2</v>
      </c>
      <c r="J329">
        <v>3</v>
      </c>
    </row>
    <row r="330" spans="1:10" ht="15" customHeight="1" x14ac:dyDescent="0.25">
      <c r="A330" t="s">
        <v>555</v>
      </c>
      <c r="B330" t="s">
        <v>207</v>
      </c>
      <c r="C330" s="9">
        <v>45806</v>
      </c>
      <c r="D330" s="9">
        <v>45812</v>
      </c>
      <c r="E330">
        <v>0</v>
      </c>
      <c r="F330">
        <v>2243</v>
      </c>
      <c r="G330">
        <v>127</v>
      </c>
      <c r="H330" s="10">
        <v>767.75</v>
      </c>
      <c r="I330">
        <v>-1.2E-2</v>
      </c>
      <c r="J330">
        <v>3</v>
      </c>
    </row>
    <row r="331" spans="1:10" ht="15" customHeight="1" x14ac:dyDescent="0.25">
      <c r="A331" t="s">
        <v>556</v>
      </c>
      <c r="B331" t="s">
        <v>158</v>
      </c>
      <c r="C331" s="9">
        <v>46064</v>
      </c>
      <c r="D331" s="9">
        <v>46079</v>
      </c>
      <c r="E331">
        <v>0</v>
      </c>
      <c r="F331">
        <v>2179</v>
      </c>
      <c r="G331">
        <v>186</v>
      </c>
      <c r="H331" s="10">
        <v>650.75</v>
      </c>
      <c r="I331">
        <v>7.6999999999999999E-2</v>
      </c>
      <c r="J331">
        <v>5</v>
      </c>
    </row>
    <row r="332" spans="1:10" ht="15" customHeight="1" x14ac:dyDescent="0.25">
      <c r="A332" t="s">
        <v>557</v>
      </c>
      <c r="B332" t="s">
        <v>158</v>
      </c>
      <c r="C332" s="9">
        <v>45974</v>
      </c>
      <c r="D332" s="9">
        <v>45992</v>
      </c>
      <c r="E332">
        <v>0</v>
      </c>
      <c r="F332">
        <v>2904</v>
      </c>
      <c r="G332">
        <v>205</v>
      </c>
      <c r="H332" s="10">
        <v>111.67</v>
      </c>
      <c r="I332">
        <v>6.3E-2</v>
      </c>
      <c r="J332">
        <v>5</v>
      </c>
    </row>
    <row r="333" spans="1:10" ht="15" customHeight="1" x14ac:dyDescent="0.25">
      <c r="A333" t="s">
        <v>558</v>
      </c>
      <c r="B333" t="s">
        <v>158</v>
      </c>
      <c r="C333" s="9">
        <v>45789</v>
      </c>
      <c r="D333" s="9">
        <v>45799</v>
      </c>
      <c r="E333">
        <v>0</v>
      </c>
      <c r="F333">
        <v>2868</v>
      </c>
      <c r="G333">
        <v>156</v>
      </c>
      <c r="H333" s="10">
        <v>482.64</v>
      </c>
      <c r="I333">
        <v>0.06</v>
      </c>
      <c r="J333">
        <v>3</v>
      </c>
    </row>
    <row r="334" spans="1:10" ht="15" customHeight="1" x14ac:dyDescent="0.25">
      <c r="A334" t="s">
        <v>559</v>
      </c>
      <c r="B334" t="s">
        <v>203</v>
      </c>
      <c r="C334" s="9">
        <v>45919</v>
      </c>
      <c r="D334" s="9">
        <v>45933</v>
      </c>
      <c r="E334">
        <v>0</v>
      </c>
      <c r="F334">
        <v>425</v>
      </c>
      <c r="G334">
        <v>5</v>
      </c>
      <c r="H334" s="10">
        <v>874.07</v>
      </c>
      <c r="I334">
        <v>6.0999999999999999E-2</v>
      </c>
      <c r="J334">
        <v>4</v>
      </c>
    </row>
    <row r="335" spans="1:10" ht="15" customHeight="1" x14ac:dyDescent="0.25">
      <c r="A335" t="s">
        <v>560</v>
      </c>
      <c r="B335" t="s">
        <v>201</v>
      </c>
      <c r="C335" s="9">
        <v>45886</v>
      </c>
      <c r="D335" s="9">
        <v>45899</v>
      </c>
      <c r="E335">
        <v>0</v>
      </c>
      <c r="F335">
        <v>2263</v>
      </c>
      <c r="G335">
        <v>213</v>
      </c>
      <c r="H335" s="10">
        <v>312.45</v>
      </c>
      <c r="I335">
        <v>-2.9000000000000001E-2</v>
      </c>
      <c r="J335">
        <v>1</v>
      </c>
    </row>
    <row r="336" spans="1:10" ht="15" customHeight="1" x14ac:dyDescent="0.25">
      <c r="A336" t="s">
        <v>561</v>
      </c>
      <c r="B336" t="s">
        <v>143</v>
      </c>
      <c r="C336" s="9">
        <v>46020</v>
      </c>
      <c r="D336" s="9">
        <v>46027</v>
      </c>
      <c r="E336">
        <v>0</v>
      </c>
      <c r="F336">
        <v>3551</v>
      </c>
      <c r="G336">
        <v>324</v>
      </c>
      <c r="H336" s="10">
        <v>393.91</v>
      </c>
      <c r="I336">
        <v>4.9000000000000002E-2</v>
      </c>
      <c r="J336">
        <v>2</v>
      </c>
    </row>
    <row r="337" spans="1:10" ht="15" customHeight="1" x14ac:dyDescent="0.25">
      <c r="A337" t="s">
        <v>562</v>
      </c>
      <c r="B337" t="s">
        <v>179</v>
      </c>
      <c r="C337" s="9">
        <v>45817</v>
      </c>
      <c r="D337" s="9">
        <v>45823</v>
      </c>
      <c r="E337">
        <v>0</v>
      </c>
      <c r="F337">
        <v>3078</v>
      </c>
      <c r="G337">
        <v>256</v>
      </c>
      <c r="H337" s="10">
        <v>477.76</v>
      </c>
      <c r="I337">
        <v>1.6E-2</v>
      </c>
      <c r="J337">
        <v>1</v>
      </c>
    </row>
    <row r="338" spans="1:10" ht="15" customHeight="1" x14ac:dyDescent="0.25">
      <c r="A338" t="s">
        <v>563</v>
      </c>
      <c r="B338" t="s">
        <v>195</v>
      </c>
      <c r="C338" s="9">
        <v>45899</v>
      </c>
      <c r="D338" s="9">
        <v>45910</v>
      </c>
      <c r="E338">
        <v>0</v>
      </c>
      <c r="F338">
        <v>1079</v>
      </c>
      <c r="G338">
        <v>88</v>
      </c>
      <c r="H338" s="10">
        <v>211.74</v>
      </c>
      <c r="I338">
        <v>-2E-3</v>
      </c>
      <c r="J338">
        <v>3</v>
      </c>
    </row>
    <row r="339" spans="1:10" ht="15" customHeight="1" x14ac:dyDescent="0.25">
      <c r="A339" t="s">
        <v>564</v>
      </c>
      <c r="B339" t="s">
        <v>155</v>
      </c>
      <c r="C339" s="9">
        <v>45867</v>
      </c>
      <c r="D339" s="9">
        <v>45877</v>
      </c>
      <c r="E339">
        <v>0</v>
      </c>
      <c r="F339">
        <v>3548</v>
      </c>
      <c r="G339">
        <v>364</v>
      </c>
      <c r="H339" s="10">
        <v>401.2</v>
      </c>
      <c r="I339">
        <v>-2E-3</v>
      </c>
      <c r="J339">
        <v>4</v>
      </c>
    </row>
    <row r="340" spans="1:10" ht="15" customHeight="1" x14ac:dyDescent="0.25">
      <c r="A340" t="s">
        <v>565</v>
      </c>
      <c r="B340" t="s">
        <v>197</v>
      </c>
      <c r="C340" s="9">
        <v>45799</v>
      </c>
      <c r="D340" s="9">
        <v>45810</v>
      </c>
      <c r="E340">
        <v>0</v>
      </c>
      <c r="F340">
        <v>1351</v>
      </c>
      <c r="G340">
        <v>56</v>
      </c>
      <c r="H340" s="10">
        <v>786.04</v>
      </c>
      <c r="I340">
        <v>-8.0000000000000002E-3</v>
      </c>
      <c r="J340">
        <v>5</v>
      </c>
    </row>
    <row r="341" spans="1:10" ht="15" customHeight="1" x14ac:dyDescent="0.25">
      <c r="A341" t="s">
        <v>566</v>
      </c>
      <c r="B341" t="s">
        <v>197</v>
      </c>
      <c r="C341" s="9">
        <v>46021</v>
      </c>
      <c r="D341" s="9">
        <v>46039</v>
      </c>
      <c r="E341">
        <v>0</v>
      </c>
      <c r="F341">
        <v>333</v>
      </c>
      <c r="G341">
        <v>15</v>
      </c>
      <c r="H341" s="10">
        <v>722</v>
      </c>
      <c r="I341">
        <v>-2.5999999999999999E-2</v>
      </c>
      <c r="J341">
        <v>2</v>
      </c>
    </row>
    <row r="342" spans="1:10" ht="15" customHeight="1" x14ac:dyDescent="0.25">
      <c r="A342" t="s">
        <v>567</v>
      </c>
      <c r="B342" t="s">
        <v>147</v>
      </c>
      <c r="C342" s="9">
        <v>45814</v>
      </c>
      <c r="D342" s="9">
        <v>45829</v>
      </c>
      <c r="E342">
        <v>0</v>
      </c>
      <c r="F342">
        <v>4326</v>
      </c>
      <c r="G342">
        <v>376</v>
      </c>
      <c r="H342" s="10">
        <v>782.52</v>
      </c>
      <c r="I342">
        <v>-4.2999999999999997E-2</v>
      </c>
      <c r="J342">
        <v>5</v>
      </c>
    </row>
    <row r="343" spans="1:10" ht="15" customHeight="1" x14ac:dyDescent="0.25">
      <c r="A343" t="s">
        <v>568</v>
      </c>
      <c r="B343" t="s">
        <v>152</v>
      </c>
      <c r="C343" s="9">
        <v>46019</v>
      </c>
      <c r="D343" s="9">
        <v>46036</v>
      </c>
      <c r="E343">
        <v>0</v>
      </c>
      <c r="F343">
        <v>4673</v>
      </c>
      <c r="G343">
        <v>275</v>
      </c>
      <c r="H343" s="10">
        <v>423.73</v>
      </c>
      <c r="I343">
        <v>-2.3E-2</v>
      </c>
      <c r="J343">
        <v>1</v>
      </c>
    </row>
    <row r="344" spans="1:10" ht="15" customHeight="1" x14ac:dyDescent="0.25">
      <c r="A344" t="s">
        <v>569</v>
      </c>
      <c r="B344" t="s">
        <v>183</v>
      </c>
      <c r="C344" s="9">
        <v>45770</v>
      </c>
      <c r="D344" s="9">
        <v>45785</v>
      </c>
      <c r="E344">
        <v>0</v>
      </c>
      <c r="F344">
        <v>3432</v>
      </c>
      <c r="G344">
        <v>82</v>
      </c>
      <c r="H344" s="10">
        <v>655.68</v>
      </c>
      <c r="I344">
        <v>-1.6E-2</v>
      </c>
      <c r="J344">
        <v>5</v>
      </c>
    </row>
    <row r="345" spans="1:10" ht="15" customHeight="1" x14ac:dyDescent="0.25">
      <c r="A345" t="s">
        <v>570</v>
      </c>
      <c r="B345" t="s">
        <v>208</v>
      </c>
      <c r="C345" s="9">
        <v>45918</v>
      </c>
      <c r="D345" s="9">
        <v>45932</v>
      </c>
      <c r="E345">
        <v>0</v>
      </c>
      <c r="F345">
        <v>4083</v>
      </c>
      <c r="G345">
        <v>285</v>
      </c>
      <c r="H345" s="10">
        <v>816.23</v>
      </c>
      <c r="I345">
        <v>2.9000000000000001E-2</v>
      </c>
      <c r="J345">
        <v>4</v>
      </c>
    </row>
    <row r="346" spans="1:10" ht="15" customHeight="1" x14ac:dyDescent="0.25">
      <c r="A346" t="s">
        <v>571</v>
      </c>
      <c r="B346" t="s">
        <v>116</v>
      </c>
      <c r="C346" s="9">
        <v>46052</v>
      </c>
      <c r="D346" s="9">
        <v>46069</v>
      </c>
      <c r="E346">
        <v>0</v>
      </c>
      <c r="F346">
        <v>2862</v>
      </c>
      <c r="G346">
        <v>38</v>
      </c>
      <c r="H346" s="10">
        <v>489.82</v>
      </c>
      <c r="I346">
        <v>0.05</v>
      </c>
      <c r="J346">
        <v>1</v>
      </c>
    </row>
    <row r="347" spans="1:10" ht="15" customHeight="1" x14ac:dyDescent="0.25">
      <c r="A347" t="s">
        <v>572</v>
      </c>
      <c r="B347" t="s">
        <v>201</v>
      </c>
      <c r="C347" s="9">
        <v>46056</v>
      </c>
      <c r="D347" s="9">
        <v>46073</v>
      </c>
      <c r="E347">
        <v>5</v>
      </c>
      <c r="F347">
        <v>4818</v>
      </c>
      <c r="G347">
        <v>495</v>
      </c>
      <c r="H347" s="10">
        <v>553.96</v>
      </c>
      <c r="I347">
        <v>7.5999999999999998E-2</v>
      </c>
      <c r="J347">
        <v>5</v>
      </c>
    </row>
    <row r="348" spans="1:10" ht="15" customHeight="1" x14ac:dyDescent="0.25">
      <c r="A348" t="s">
        <v>573</v>
      </c>
      <c r="B348" t="s">
        <v>200</v>
      </c>
      <c r="C348" s="9">
        <v>45958</v>
      </c>
      <c r="D348" s="9">
        <v>45976</v>
      </c>
      <c r="E348">
        <v>0</v>
      </c>
      <c r="F348">
        <v>2896</v>
      </c>
      <c r="G348">
        <v>203</v>
      </c>
      <c r="H348" s="10">
        <v>513.72</v>
      </c>
      <c r="I348">
        <v>0.03</v>
      </c>
      <c r="J348">
        <v>3</v>
      </c>
    </row>
    <row r="349" spans="1:10" ht="15" customHeight="1" x14ac:dyDescent="0.25">
      <c r="A349" t="s">
        <v>574</v>
      </c>
      <c r="B349" t="s">
        <v>152</v>
      </c>
      <c r="C349" s="9">
        <v>46057</v>
      </c>
      <c r="D349" s="9">
        <v>46075</v>
      </c>
      <c r="E349">
        <v>0</v>
      </c>
      <c r="F349">
        <v>4284</v>
      </c>
      <c r="G349">
        <v>339</v>
      </c>
      <c r="H349" s="10">
        <v>718.7</v>
      </c>
      <c r="I349">
        <v>2.7E-2</v>
      </c>
      <c r="J349">
        <v>4</v>
      </c>
    </row>
    <row r="350" spans="1:10" ht="15" customHeight="1" x14ac:dyDescent="0.25">
      <c r="A350" t="s">
        <v>575</v>
      </c>
      <c r="B350" t="s">
        <v>216</v>
      </c>
      <c r="C350" s="9">
        <v>45850</v>
      </c>
      <c r="D350" s="9">
        <v>45858</v>
      </c>
      <c r="E350">
        <v>0</v>
      </c>
      <c r="F350">
        <v>1532</v>
      </c>
      <c r="G350">
        <v>71</v>
      </c>
      <c r="H350" s="10">
        <v>680.49</v>
      </c>
      <c r="I350">
        <v>7.2999999999999995E-2</v>
      </c>
      <c r="J350">
        <v>3</v>
      </c>
    </row>
    <row r="351" spans="1:10" ht="15" customHeight="1" x14ac:dyDescent="0.25">
      <c r="A351" t="s">
        <v>576</v>
      </c>
      <c r="B351" t="s">
        <v>203</v>
      </c>
      <c r="C351" s="9">
        <v>46009</v>
      </c>
      <c r="D351" s="9">
        <v>46026</v>
      </c>
      <c r="E351">
        <v>0</v>
      </c>
      <c r="F351">
        <v>2963</v>
      </c>
      <c r="G351">
        <v>47</v>
      </c>
      <c r="H351" s="10">
        <v>446.75</v>
      </c>
      <c r="I351">
        <v>-8.0000000000000002E-3</v>
      </c>
      <c r="J351">
        <v>5</v>
      </c>
    </row>
    <row r="352" spans="1:10" ht="15" customHeight="1" x14ac:dyDescent="0.25">
      <c r="A352" t="s">
        <v>577</v>
      </c>
      <c r="B352" t="s">
        <v>216</v>
      </c>
      <c r="C352" s="9">
        <v>45836</v>
      </c>
      <c r="D352" s="9">
        <v>45843</v>
      </c>
      <c r="E352">
        <v>0</v>
      </c>
      <c r="F352">
        <v>3143</v>
      </c>
      <c r="G352">
        <v>181</v>
      </c>
      <c r="H352" s="10">
        <v>201.28</v>
      </c>
      <c r="I352">
        <v>-3.3000000000000002E-2</v>
      </c>
      <c r="J352">
        <v>5</v>
      </c>
    </row>
    <row r="353" spans="1:10" ht="15" customHeight="1" x14ac:dyDescent="0.25">
      <c r="A353" t="s">
        <v>578</v>
      </c>
      <c r="B353" t="s">
        <v>195</v>
      </c>
      <c r="C353" s="9">
        <v>46010</v>
      </c>
      <c r="D353" s="9">
        <v>46015</v>
      </c>
      <c r="E353">
        <v>0</v>
      </c>
      <c r="F353">
        <v>399</v>
      </c>
      <c r="G353">
        <v>26</v>
      </c>
      <c r="H353" s="10">
        <v>444.34</v>
      </c>
      <c r="I353">
        <v>2.4E-2</v>
      </c>
      <c r="J353">
        <v>1</v>
      </c>
    </row>
    <row r="354" spans="1:10" ht="15" customHeight="1" x14ac:dyDescent="0.25">
      <c r="A354" t="s">
        <v>579</v>
      </c>
      <c r="B354" t="s">
        <v>208</v>
      </c>
      <c r="C354" s="9">
        <v>45971</v>
      </c>
      <c r="D354" s="9">
        <v>45989</v>
      </c>
      <c r="E354">
        <v>0</v>
      </c>
      <c r="F354">
        <v>2238</v>
      </c>
      <c r="G354">
        <v>142</v>
      </c>
      <c r="H354" s="10">
        <v>120.91</v>
      </c>
      <c r="I354">
        <v>5.5E-2</v>
      </c>
      <c r="J354">
        <v>2</v>
      </c>
    </row>
    <row r="355" spans="1:10" ht="15" customHeight="1" x14ac:dyDescent="0.25">
      <c r="A355" t="s">
        <v>580</v>
      </c>
      <c r="B355" t="s">
        <v>161</v>
      </c>
      <c r="C355" s="9">
        <v>45857</v>
      </c>
      <c r="D355" s="9">
        <v>45875</v>
      </c>
      <c r="E355">
        <v>0</v>
      </c>
      <c r="F355">
        <v>800</v>
      </c>
      <c r="G355">
        <v>75</v>
      </c>
      <c r="H355" s="10">
        <v>399.24</v>
      </c>
      <c r="I355">
        <v>2.7E-2</v>
      </c>
      <c r="J355">
        <v>1</v>
      </c>
    </row>
    <row r="356" spans="1:10" ht="15" customHeight="1" x14ac:dyDescent="0.25">
      <c r="A356" t="s">
        <v>581</v>
      </c>
      <c r="B356" t="s">
        <v>175</v>
      </c>
      <c r="C356" s="9">
        <v>45845</v>
      </c>
      <c r="D356" s="9">
        <v>45863</v>
      </c>
      <c r="E356">
        <v>0</v>
      </c>
      <c r="F356">
        <v>2858</v>
      </c>
      <c r="G356">
        <v>189</v>
      </c>
      <c r="H356" s="10">
        <v>488.68</v>
      </c>
      <c r="I356">
        <v>7.0000000000000007E-2</v>
      </c>
      <c r="J356">
        <v>3</v>
      </c>
    </row>
    <row r="357" spans="1:10" ht="15" customHeight="1" x14ac:dyDescent="0.25">
      <c r="A357" t="s">
        <v>582</v>
      </c>
      <c r="B357" t="s">
        <v>179</v>
      </c>
      <c r="C357" s="9">
        <v>45920</v>
      </c>
      <c r="D357" s="9">
        <v>45925</v>
      </c>
      <c r="E357">
        <v>0</v>
      </c>
      <c r="F357">
        <v>1044</v>
      </c>
      <c r="G357">
        <v>73</v>
      </c>
      <c r="H357" s="10">
        <v>696.43</v>
      </c>
      <c r="I357">
        <v>-1.6E-2</v>
      </c>
      <c r="J357">
        <v>4</v>
      </c>
    </row>
    <row r="358" spans="1:10" ht="15" customHeight="1" x14ac:dyDescent="0.25">
      <c r="A358" t="s">
        <v>583</v>
      </c>
      <c r="B358" t="s">
        <v>199</v>
      </c>
      <c r="C358" s="9">
        <v>46027</v>
      </c>
      <c r="D358" s="9">
        <v>46034</v>
      </c>
      <c r="E358">
        <v>0</v>
      </c>
      <c r="F358">
        <v>1949</v>
      </c>
      <c r="G358">
        <v>56</v>
      </c>
      <c r="H358" s="10">
        <v>266.01</v>
      </c>
      <c r="I358">
        <v>2.5000000000000001E-2</v>
      </c>
      <c r="J358">
        <v>5</v>
      </c>
    </row>
    <row r="359" spans="1:10" ht="15" customHeight="1" x14ac:dyDescent="0.25">
      <c r="A359" t="s">
        <v>584</v>
      </c>
      <c r="B359" t="s">
        <v>179</v>
      </c>
      <c r="C359" s="9">
        <v>45846</v>
      </c>
      <c r="D359" s="9">
        <v>45861</v>
      </c>
      <c r="E359">
        <v>0</v>
      </c>
      <c r="F359">
        <v>3938</v>
      </c>
      <c r="G359">
        <v>303</v>
      </c>
      <c r="H359" s="10">
        <v>81.150000000000006</v>
      </c>
      <c r="I359">
        <v>3.4000000000000002E-2</v>
      </c>
      <c r="J359">
        <v>2</v>
      </c>
    </row>
    <row r="360" spans="1:10" ht="15" customHeight="1" x14ac:dyDescent="0.25">
      <c r="A360" t="s">
        <v>585</v>
      </c>
      <c r="B360" t="s">
        <v>128</v>
      </c>
      <c r="C360" s="9">
        <v>45915</v>
      </c>
      <c r="D360" s="9">
        <v>45926</v>
      </c>
      <c r="E360">
        <v>0</v>
      </c>
      <c r="F360">
        <v>2913</v>
      </c>
      <c r="G360">
        <v>165</v>
      </c>
      <c r="H360" s="10">
        <v>134.16</v>
      </c>
      <c r="I360">
        <v>4.7E-2</v>
      </c>
      <c r="J360">
        <v>4</v>
      </c>
    </row>
    <row r="361" spans="1:10" ht="15" customHeight="1" x14ac:dyDescent="0.25">
      <c r="A361" t="s">
        <v>586</v>
      </c>
      <c r="B361" t="s">
        <v>205</v>
      </c>
      <c r="C361" s="9">
        <v>46038</v>
      </c>
      <c r="D361" s="9">
        <v>46052</v>
      </c>
      <c r="E361">
        <v>0</v>
      </c>
      <c r="F361">
        <v>4405</v>
      </c>
      <c r="G361">
        <v>93</v>
      </c>
      <c r="H361" s="10">
        <v>679.26</v>
      </c>
      <c r="I361">
        <v>-3.7999999999999999E-2</v>
      </c>
      <c r="J361">
        <v>2</v>
      </c>
    </row>
    <row r="362" spans="1:10" ht="15" customHeight="1" x14ac:dyDescent="0.25">
      <c r="A362" t="s">
        <v>587</v>
      </c>
      <c r="B362" t="s">
        <v>199</v>
      </c>
      <c r="C362" s="9">
        <v>45871</v>
      </c>
      <c r="D362" s="9">
        <v>45884</v>
      </c>
      <c r="E362">
        <v>0</v>
      </c>
      <c r="F362">
        <v>3236</v>
      </c>
      <c r="G362">
        <v>140</v>
      </c>
      <c r="H362" s="10">
        <v>60.96</v>
      </c>
      <c r="I362">
        <v>-1.0999999999999999E-2</v>
      </c>
      <c r="J362">
        <v>4</v>
      </c>
    </row>
    <row r="363" spans="1:10" ht="15" customHeight="1" x14ac:dyDescent="0.25">
      <c r="A363" t="s">
        <v>588</v>
      </c>
      <c r="B363" t="s">
        <v>201</v>
      </c>
      <c r="C363" s="9">
        <v>46074</v>
      </c>
      <c r="D363" s="9">
        <v>46086</v>
      </c>
      <c r="E363">
        <v>0</v>
      </c>
      <c r="F363">
        <v>1460</v>
      </c>
      <c r="G363">
        <v>145</v>
      </c>
      <c r="H363" s="10">
        <v>704.39</v>
      </c>
      <c r="I363">
        <v>6.8000000000000005E-2</v>
      </c>
      <c r="J363">
        <v>5</v>
      </c>
    </row>
    <row r="364" spans="1:10" ht="15" customHeight="1" x14ac:dyDescent="0.25">
      <c r="A364" t="s">
        <v>589</v>
      </c>
      <c r="B364" t="s">
        <v>128</v>
      </c>
      <c r="C364" s="9">
        <v>46037</v>
      </c>
      <c r="D364" s="9">
        <v>46052</v>
      </c>
      <c r="E364">
        <v>0</v>
      </c>
      <c r="F364">
        <v>3584</v>
      </c>
      <c r="G364">
        <v>256</v>
      </c>
      <c r="H364" s="10">
        <v>684.21</v>
      </c>
      <c r="I364">
        <v>1.4999999999999999E-2</v>
      </c>
      <c r="J364">
        <v>1</v>
      </c>
    </row>
    <row r="365" spans="1:10" ht="15" customHeight="1" x14ac:dyDescent="0.25">
      <c r="A365" t="s">
        <v>590</v>
      </c>
      <c r="B365" t="s">
        <v>183</v>
      </c>
      <c r="C365" s="9">
        <v>46049</v>
      </c>
      <c r="D365" s="9">
        <v>46060</v>
      </c>
      <c r="E365">
        <v>4</v>
      </c>
      <c r="F365">
        <v>749</v>
      </c>
      <c r="G365">
        <v>29</v>
      </c>
      <c r="H365" s="10">
        <v>862.73</v>
      </c>
      <c r="I365">
        <v>-4.0000000000000001E-3</v>
      </c>
      <c r="J365">
        <v>2</v>
      </c>
    </row>
    <row r="366" spans="1:10" ht="15" customHeight="1" x14ac:dyDescent="0.25">
      <c r="A366" t="s">
        <v>591</v>
      </c>
      <c r="B366" t="s">
        <v>205</v>
      </c>
      <c r="C366" s="9">
        <v>46054</v>
      </c>
      <c r="D366" s="9">
        <v>46071</v>
      </c>
      <c r="E366">
        <v>0</v>
      </c>
      <c r="F366">
        <v>4940</v>
      </c>
      <c r="G366">
        <v>33</v>
      </c>
      <c r="H366" s="10">
        <v>725.77</v>
      </c>
      <c r="I366">
        <v>7.0000000000000007E-2</v>
      </c>
      <c r="J366">
        <v>4</v>
      </c>
    </row>
    <row r="367" spans="1:10" ht="15" customHeight="1" x14ac:dyDescent="0.25">
      <c r="A367" t="s">
        <v>592</v>
      </c>
      <c r="B367" t="s">
        <v>122</v>
      </c>
      <c r="C367" s="9">
        <v>45958</v>
      </c>
      <c r="D367" s="9">
        <v>45973</v>
      </c>
      <c r="E367">
        <v>0</v>
      </c>
      <c r="F367">
        <v>4060</v>
      </c>
      <c r="G367">
        <v>354</v>
      </c>
      <c r="H367" s="10">
        <v>736.81</v>
      </c>
      <c r="I367">
        <v>-2.5999999999999999E-2</v>
      </c>
      <c r="J367">
        <v>2</v>
      </c>
    </row>
    <row r="368" spans="1:10" ht="15" customHeight="1" x14ac:dyDescent="0.25">
      <c r="A368" t="s">
        <v>593</v>
      </c>
      <c r="B368" t="s">
        <v>152</v>
      </c>
      <c r="C368" s="9">
        <v>45996</v>
      </c>
      <c r="D368" s="9">
        <v>46001</v>
      </c>
      <c r="E368">
        <v>0</v>
      </c>
      <c r="F368">
        <v>2250</v>
      </c>
      <c r="G368">
        <v>121</v>
      </c>
      <c r="H368" s="10">
        <v>883.45</v>
      </c>
      <c r="I368">
        <v>5.8000000000000003E-2</v>
      </c>
      <c r="J368">
        <v>4</v>
      </c>
    </row>
    <row r="369" spans="1:10" ht="15" customHeight="1" x14ac:dyDescent="0.25">
      <c r="A369" t="s">
        <v>594</v>
      </c>
      <c r="B369" t="s">
        <v>212</v>
      </c>
      <c r="C369" s="9">
        <v>45874</v>
      </c>
      <c r="D369" s="9">
        <v>45891</v>
      </c>
      <c r="E369">
        <v>0</v>
      </c>
      <c r="F369">
        <v>3380</v>
      </c>
      <c r="G369">
        <v>193</v>
      </c>
      <c r="H369" s="10">
        <v>769.89</v>
      </c>
      <c r="I369">
        <v>7.2999999999999995E-2</v>
      </c>
      <c r="J369">
        <v>3</v>
      </c>
    </row>
    <row r="370" spans="1:10" ht="15" customHeight="1" x14ac:dyDescent="0.25">
      <c r="A370" t="s">
        <v>595</v>
      </c>
      <c r="B370" t="s">
        <v>176</v>
      </c>
      <c r="C370" s="9">
        <v>46071</v>
      </c>
      <c r="D370" s="9">
        <v>46091</v>
      </c>
      <c r="E370">
        <v>0</v>
      </c>
      <c r="F370">
        <v>1595</v>
      </c>
      <c r="G370">
        <v>21</v>
      </c>
      <c r="H370" s="10">
        <v>80.75</v>
      </c>
      <c r="I370">
        <v>6.0000000000000001E-3</v>
      </c>
      <c r="J370">
        <v>4</v>
      </c>
    </row>
    <row r="371" spans="1:10" ht="15" customHeight="1" x14ac:dyDescent="0.25">
      <c r="A371" t="s">
        <v>596</v>
      </c>
      <c r="B371" t="s">
        <v>193</v>
      </c>
      <c r="C371" s="9">
        <v>45844</v>
      </c>
      <c r="D371" s="9">
        <v>45849</v>
      </c>
      <c r="E371">
        <v>0</v>
      </c>
      <c r="F371">
        <v>3813</v>
      </c>
      <c r="G371">
        <v>329</v>
      </c>
      <c r="H371" s="10">
        <v>604.80999999999995</v>
      </c>
      <c r="I371">
        <v>6.7000000000000004E-2</v>
      </c>
      <c r="J371">
        <v>3</v>
      </c>
    </row>
    <row r="372" spans="1:10" ht="15" customHeight="1" x14ac:dyDescent="0.25">
      <c r="A372" t="s">
        <v>597</v>
      </c>
      <c r="B372" t="s">
        <v>197</v>
      </c>
      <c r="C372" s="9">
        <v>45886</v>
      </c>
      <c r="D372" s="9">
        <v>45896</v>
      </c>
      <c r="E372">
        <v>1</v>
      </c>
      <c r="F372">
        <v>3496</v>
      </c>
      <c r="G372">
        <v>107</v>
      </c>
      <c r="H372" s="10">
        <v>692</v>
      </c>
      <c r="I372">
        <v>-5.0000000000000001E-3</v>
      </c>
      <c r="J372">
        <v>1</v>
      </c>
    </row>
    <row r="373" spans="1:10" ht="15" customHeight="1" x14ac:dyDescent="0.25">
      <c r="A373" t="s">
        <v>598</v>
      </c>
      <c r="B373" t="s">
        <v>205</v>
      </c>
      <c r="C373" s="9">
        <v>46040</v>
      </c>
      <c r="D373" s="9">
        <v>46056</v>
      </c>
      <c r="E373">
        <v>0</v>
      </c>
      <c r="F373">
        <v>4745</v>
      </c>
      <c r="G373">
        <v>122</v>
      </c>
      <c r="H373" s="10">
        <v>892.73</v>
      </c>
      <c r="I373">
        <v>-2.5000000000000001E-2</v>
      </c>
      <c r="J373">
        <v>4</v>
      </c>
    </row>
    <row r="374" spans="1:10" ht="15" customHeight="1" x14ac:dyDescent="0.25">
      <c r="A374" t="s">
        <v>599</v>
      </c>
      <c r="B374" t="s">
        <v>167</v>
      </c>
      <c r="C374" s="9">
        <v>45943</v>
      </c>
      <c r="D374" s="9">
        <v>45958</v>
      </c>
      <c r="E374">
        <v>0</v>
      </c>
      <c r="F374">
        <v>4667</v>
      </c>
      <c r="G374">
        <v>258</v>
      </c>
      <c r="H374" s="10">
        <v>232.84</v>
      </c>
      <c r="I374">
        <v>5.1999999999999998E-2</v>
      </c>
      <c r="J374">
        <v>2</v>
      </c>
    </row>
    <row r="375" spans="1:10" ht="15" customHeight="1" x14ac:dyDescent="0.25">
      <c r="A375" t="s">
        <v>600</v>
      </c>
      <c r="B375" t="s">
        <v>122</v>
      </c>
      <c r="C375" s="9">
        <v>45762</v>
      </c>
      <c r="D375" s="9">
        <v>45778</v>
      </c>
      <c r="E375">
        <v>0</v>
      </c>
      <c r="F375">
        <v>158</v>
      </c>
      <c r="G375">
        <v>11</v>
      </c>
      <c r="H375" s="10">
        <v>440.83</v>
      </c>
      <c r="I375">
        <v>4.2999999999999997E-2</v>
      </c>
      <c r="J375">
        <v>1</v>
      </c>
    </row>
    <row r="376" spans="1:10" ht="15" customHeight="1" x14ac:dyDescent="0.25">
      <c r="A376" t="s">
        <v>601</v>
      </c>
      <c r="B376" t="s">
        <v>200</v>
      </c>
      <c r="C376" s="9">
        <v>45960</v>
      </c>
      <c r="D376" s="9">
        <v>45975</v>
      </c>
      <c r="E376">
        <v>0</v>
      </c>
      <c r="F376">
        <v>3644</v>
      </c>
      <c r="G376">
        <v>215</v>
      </c>
      <c r="H376" s="10">
        <v>673.26</v>
      </c>
      <c r="I376">
        <v>3.2000000000000001E-2</v>
      </c>
      <c r="J376">
        <v>1</v>
      </c>
    </row>
    <row r="377" spans="1:10" ht="15" customHeight="1" x14ac:dyDescent="0.25">
      <c r="A377" t="s">
        <v>602</v>
      </c>
      <c r="B377" t="s">
        <v>199</v>
      </c>
      <c r="C377" s="9">
        <v>46060</v>
      </c>
      <c r="D377" s="9">
        <v>46072</v>
      </c>
      <c r="E377">
        <v>0</v>
      </c>
      <c r="F377">
        <v>2618</v>
      </c>
      <c r="G377">
        <v>63</v>
      </c>
      <c r="H377" s="10">
        <v>694.04</v>
      </c>
      <c r="I377">
        <v>-2.5999999999999999E-2</v>
      </c>
      <c r="J377">
        <v>2</v>
      </c>
    </row>
    <row r="378" spans="1:10" ht="15" customHeight="1" x14ac:dyDescent="0.25">
      <c r="A378" t="s">
        <v>603</v>
      </c>
      <c r="B378" t="s">
        <v>183</v>
      </c>
      <c r="C378" s="9">
        <v>45771</v>
      </c>
      <c r="D378" s="9">
        <v>45782</v>
      </c>
      <c r="E378">
        <v>0</v>
      </c>
      <c r="F378">
        <v>2429</v>
      </c>
      <c r="G378">
        <v>77</v>
      </c>
      <c r="H378" s="10">
        <v>897.42</v>
      </c>
      <c r="I378">
        <v>0.04</v>
      </c>
      <c r="J378">
        <v>4</v>
      </c>
    </row>
    <row r="379" spans="1:10" ht="15" customHeight="1" x14ac:dyDescent="0.25">
      <c r="A379" t="s">
        <v>604</v>
      </c>
      <c r="B379" t="s">
        <v>210</v>
      </c>
      <c r="C379" s="9">
        <v>45841</v>
      </c>
      <c r="D379" s="9">
        <v>45857</v>
      </c>
      <c r="E379">
        <v>0</v>
      </c>
      <c r="F379">
        <v>859</v>
      </c>
      <c r="G379">
        <v>77</v>
      </c>
      <c r="H379" s="10">
        <v>813.19</v>
      </c>
      <c r="I379">
        <v>-4.5999999999999999E-2</v>
      </c>
      <c r="J379">
        <v>4</v>
      </c>
    </row>
    <row r="380" spans="1:10" ht="15" customHeight="1" x14ac:dyDescent="0.25">
      <c r="A380" t="s">
        <v>605</v>
      </c>
      <c r="B380" t="s">
        <v>169</v>
      </c>
      <c r="C380" s="9">
        <v>45952</v>
      </c>
      <c r="D380" s="9">
        <v>45965</v>
      </c>
      <c r="E380">
        <v>0</v>
      </c>
      <c r="F380">
        <v>3285</v>
      </c>
      <c r="G380">
        <v>222</v>
      </c>
      <c r="H380" s="10">
        <v>708.37</v>
      </c>
      <c r="I380">
        <v>-4.2000000000000003E-2</v>
      </c>
      <c r="J380">
        <v>2</v>
      </c>
    </row>
    <row r="381" spans="1:10" ht="15" customHeight="1" x14ac:dyDescent="0.25">
      <c r="A381" t="s">
        <v>606</v>
      </c>
      <c r="B381" t="s">
        <v>176</v>
      </c>
      <c r="C381" s="9">
        <v>45826</v>
      </c>
      <c r="D381" s="9">
        <v>45844</v>
      </c>
      <c r="E381">
        <v>0</v>
      </c>
      <c r="F381">
        <v>3935</v>
      </c>
      <c r="G381">
        <v>69</v>
      </c>
      <c r="H381" s="10">
        <v>758.29</v>
      </c>
      <c r="I381">
        <v>-4.1000000000000002E-2</v>
      </c>
      <c r="J381">
        <v>3</v>
      </c>
    </row>
    <row r="382" spans="1:10" ht="15" customHeight="1" x14ac:dyDescent="0.25">
      <c r="A382" t="s">
        <v>607</v>
      </c>
      <c r="B382" t="s">
        <v>195</v>
      </c>
      <c r="C382" s="9">
        <v>45771</v>
      </c>
      <c r="D382" s="9">
        <v>45776</v>
      </c>
      <c r="E382">
        <v>0</v>
      </c>
      <c r="F382">
        <v>3883</v>
      </c>
      <c r="G382">
        <v>287</v>
      </c>
      <c r="H382" s="10">
        <v>406.86</v>
      </c>
      <c r="I382">
        <v>-1.4999999999999999E-2</v>
      </c>
      <c r="J382">
        <v>3</v>
      </c>
    </row>
    <row r="383" spans="1:10" ht="15" customHeight="1" x14ac:dyDescent="0.25">
      <c r="A383" t="s">
        <v>608</v>
      </c>
      <c r="B383" t="s">
        <v>210</v>
      </c>
      <c r="C383" s="9">
        <v>45784</v>
      </c>
      <c r="D383" s="9">
        <v>45790</v>
      </c>
      <c r="E383">
        <v>0</v>
      </c>
      <c r="F383">
        <v>1202</v>
      </c>
      <c r="G383">
        <v>94</v>
      </c>
      <c r="H383" s="10">
        <v>275.48</v>
      </c>
      <c r="I383">
        <v>2E-3</v>
      </c>
      <c r="J383">
        <v>4</v>
      </c>
    </row>
    <row r="384" spans="1:10" ht="15" customHeight="1" x14ac:dyDescent="0.25">
      <c r="A384" t="s">
        <v>609</v>
      </c>
      <c r="B384" t="s">
        <v>201</v>
      </c>
      <c r="C384" s="9">
        <v>45818</v>
      </c>
      <c r="D384" s="9">
        <v>45832</v>
      </c>
      <c r="E384">
        <v>0</v>
      </c>
      <c r="F384">
        <v>1505</v>
      </c>
      <c r="G384">
        <v>133</v>
      </c>
      <c r="H384" s="10">
        <v>298.5</v>
      </c>
      <c r="I384">
        <v>-1.6E-2</v>
      </c>
      <c r="J384">
        <v>3</v>
      </c>
    </row>
    <row r="385" spans="1:10" ht="15" customHeight="1" x14ac:dyDescent="0.25">
      <c r="A385" t="s">
        <v>610</v>
      </c>
      <c r="B385" t="s">
        <v>203</v>
      </c>
      <c r="C385" s="9">
        <v>46016</v>
      </c>
      <c r="D385" s="9">
        <v>46035</v>
      </c>
      <c r="E385">
        <v>0</v>
      </c>
      <c r="F385">
        <v>124</v>
      </c>
      <c r="G385">
        <v>2</v>
      </c>
      <c r="H385" s="10">
        <v>504.56</v>
      </c>
      <c r="I385">
        <v>-4.7E-2</v>
      </c>
      <c r="J385">
        <v>4</v>
      </c>
    </row>
    <row r="386" spans="1:10" ht="15" customHeight="1" x14ac:dyDescent="0.25">
      <c r="A386" t="s">
        <v>611</v>
      </c>
      <c r="B386" t="s">
        <v>158</v>
      </c>
      <c r="C386" s="9">
        <v>45951</v>
      </c>
      <c r="D386" s="9">
        <v>45967</v>
      </c>
      <c r="E386">
        <v>0</v>
      </c>
      <c r="F386">
        <v>3797</v>
      </c>
      <c r="G386">
        <v>287</v>
      </c>
      <c r="H386" s="10">
        <v>636.94000000000005</v>
      </c>
      <c r="I386">
        <v>4.8000000000000001E-2</v>
      </c>
      <c r="J386">
        <v>2</v>
      </c>
    </row>
    <row r="387" spans="1:10" ht="15" customHeight="1" x14ac:dyDescent="0.25">
      <c r="A387" t="s">
        <v>612</v>
      </c>
      <c r="B387" t="s">
        <v>199</v>
      </c>
      <c r="C387" s="9">
        <v>46062</v>
      </c>
      <c r="D387" s="9">
        <v>46068</v>
      </c>
      <c r="E387">
        <v>0</v>
      </c>
      <c r="F387">
        <v>3730</v>
      </c>
      <c r="G387">
        <v>66</v>
      </c>
      <c r="H387" s="10">
        <v>289.2</v>
      </c>
      <c r="I387">
        <v>2.5000000000000001E-2</v>
      </c>
      <c r="J387">
        <v>2</v>
      </c>
    </row>
    <row r="388" spans="1:10" ht="15" customHeight="1" x14ac:dyDescent="0.25">
      <c r="A388" t="s">
        <v>613</v>
      </c>
      <c r="B388" t="s">
        <v>193</v>
      </c>
      <c r="C388" s="9">
        <v>45888</v>
      </c>
      <c r="D388" s="9">
        <v>45901</v>
      </c>
      <c r="E388">
        <v>0</v>
      </c>
      <c r="F388">
        <v>2072</v>
      </c>
      <c r="G388">
        <v>216</v>
      </c>
      <c r="H388" s="10">
        <v>266.60000000000002</v>
      </c>
      <c r="I388">
        <v>4.1000000000000002E-2</v>
      </c>
      <c r="J388">
        <v>4</v>
      </c>
    </row>
    <row r="389" spans="1:10" ht="15" customHeight="1" x14ac:dyDescent="0.25">
      <c r="A389" t="s">
        <v>614</v>
      </c>
      <c r="B389" t="s">
        <v>176</v>
      </c>
      <c r="C389" s="9">
        <v>45808</v>
      </c>
      <c r="D389" s="9">
        <v>45822</v>
      </c>
      <c r="E389">
        <v>0</v>
      </c>
      <c r="F389">
        <v>1532</v>
      </c>
      <c r="G389">
        <v>3</v>
      </c>
      <c r="H389" s="10">
        <v>503.27</v>
      </c>
      <c r="I389">
        <v>6.7000000000000004E-2</v>
      </c>
      <c r="J389">
        <v>2</v>
      </c>
    </row>
    <row r="390" spans="1:10" ht="15" customHeight="1" x14ac:dyDescent="0.25">
      <c r="A390" t="s">
        <v>615</v>
      </c>
      <c r="B390" t="s">
        <v>181</v>
      </c>
      <c r="C390" s="9">
        <v>45989</v>
      </c>
      <c r="D390" s="9">
        <v>46002</v>
      </c>
      <c r="E390">
        <v>0</v>
      </c>
      <c r="F390">
        <v>4132</v>
      </c>
      <c r="G390">
        <v>231</v>
      </c>
      <c r="H390" s="10">
        <v>103.59</v>
      </c>
      <c r="I390">
        <v>6.0000000000000001E-3</v>
      </c>
      <c r="J390">
        <v>5</v>
      </c>
    </row>
    <row r="391" spans="1:10" ht="15" customHeight="1" x14ac:dyDescent="0.25">
      <c r="A391" t="s">
        <v>616</v>
      </c>
      <c r="B391" t="s">
        <v>210</v>
      </c>
      <c r="C391" s="9">
        <v>45933</v>
      </c>
      <c r="D391" s="9">
        <v>45939</v>
      </c>
      <c r="E391">
        <v>0</v>
      </c>
      <c r="F391">
        <v>2267</v>
      </c>
      <c r="G391">
        <v>203</v>
      </c>
      <c r="H391" s="10">
        <v>30.93</v>
      </c>
      <c r="I391">
        <v>-1.2999999999999999E-2</v>
      </c>
      <c r="J391">
        <v>1</v>
      </c>
    </row>
    <row r="392" spans="1:10" ht="15" customHeight="1" x14ac:dyDescent="0.25">
      <c r="A392" t="s">
        <v>617</v>
      </c>
      <c r="B392" t="s">
        <v>195</v>
      </c>
      <c r="C392" s="9">
        <v>45846</v>
      </c>
      <c r="D392" s="9">
        <v>45857</v>
      </c>
      <c r="E392">
        <v>0</v>
      </c>
      <c r="F392">
        <v>4336</v>
      </c>
      <c r="G392">
        <v>320</v>
      </c>
      <c r="H392" s="10">
        <v>190.21</v>
      </c>
      <c r="I392">
        <v>3.2000000000000001E-2</v>
      </c>
      <c r="J392">
        <v>2</v>
      </c>
    </row>
    <row r="393" spans="1:10" ht="15" customHeight="1" x14ac:dyDescent="0.25">
      <c r="A393" t="s">
        <v>618</v>
      </c>
      <c r="B393" t="s">
        <v>179</v>
      </c>
      <c r="C393" s="9">
        <v>46084</v>
      </c>
      <c r="D393" s="9">
        <v>46103</v>
      </c>
      <c r="E393">
        <v>0</v>
      </c>
      <c r="F393">
        <v>1053</v>
      </c>
      <c r="G393">
        <v>79</v>
      </c>
      <c r="H393" s="10">
        <v>246.36</v>
      </c>
      <c r="I393">
        <v>7.1999999999999995E-2</v>
      </c>
      <c r="J393">
        <v>5</v>
      </c>
    </row>
    <row r="394" spans="1:10" ht="15" customHeight="1" x14ac:dyDescent="0.25">
      <c r="A394" t="s">
        <v>619</v>
      </c>
      <c r="B394" t="s">
        <v>128</v>
      </c>
      <c r="C394" s="9">
        <v>45849</v>
      </c>
      <c r="D394" s="9">
        <v>45861</v>
      </c>
      <c r="E394">
        <v>0</v>
      </c>
      <c r="F394">
        <v>160</v>
      </c>
      <c r="G394">
        <v>10</v>
      </c>
      <c r="H394" s="10">
        <v>639.67999999999995</v>
      </c>
      <c r="I394">
        <v>7.2999999999999995E-2</v>
      </c>
      <c r="J394">
        <v>4</v>
      </c>
    </row>
    <row r="395" spans="1:10" ht="15" customHeight="1" x14ac:dyDescent="0.25">
      <c r="A395" t="s">
        <v>620</v>
      </c>
      <c r="B395" t="s">
        <v>116</v>
      </c>
      <c r="C395" s="9">
        <v>45890</v>
      </c>
      <c r="D395" s="9">
        <v>45897</v>
      </c>
      <c r="E395">
        <v>0</v>
      </c>
      <c r="F395">
        <v>2896</v>
      </c>
      <c r="G395">
        <v>90</v>
      </c>
      <c r="H395" s="10">
        <v>132.66</v>
      </c>
      <c r="I395">
        <v>1E-3</v>
      </c>
      <c r="J395">
        <v>2</v>
      </c>
    </row>
    <row r="396" spans="1:10" ht="15" customHeight="1" x14ac:dyDescent="0.25">
      <c r="A396" t="s">
        <v>621</v>
      </c>
      <c r="B396" t="s">
        <v>210</v>
      </c>
      <c r="C396" s="9">
        <v>45915</v>
      </c>
      <c r="D396" s="9">
        <v>45920</v>
      </c>
      <c r="E396">
        <v>0</v>
      </c>
      <c r="F396">
        <v>654</v>
      </c>
      <c r="G396">
        <v>64</v>
      </c>
      <c r="H396" s="10">
        <v>79.25</v>
      </c>
      <c r="I396">
        <v>-0.04</v>
      </c>
      <c r="J396">
        <v>3</v>
      </c>
    </row>
    <row r="397" spans="1:10" ht="15" customHeight="1" x14ac:dyDescent="0.25">
      <c r="A397" t="s">
        <v>622</v>
      </c>
      <c r="B397" t="s">
        <v>183</v>
      </c>
      <c r="C397" s="9">
        <v>46050</v>
      </c>
      <c r="D397" s="9">
        <v>46068</v>
      </c>
      <c r="E397">
        <v>0</v>
      </c>
      <c r="F397">
        <v>4601</v>
      </c>
      <c r="G397">
        <v>151</v>
      </c>
      <c r="H397" s="10">
        <v>219.36</v>
      </c>
      <c r="I397">
        <v>-1.7999999999999999E-2</v>
      </c>
      <c r="J397">
        <v>1</v>
      </c>
    </row>
    <row r="398" spans="1:10" ht="15" customHeight="1" x14ac:dyDescent="0.25">
      <c r="A398" t="s">
        <v>623</v>
      </c>
      <c r="B398" t="s">
        <v>199</v>
      </c>
      <c r="C398" s="9">
        <v>46008</v>
      </c>
      <c r="D398" s="9">
        <v>46013</v>
      </c>
      <c r="E398">
        <v>0</v>
      </c>
      <c r="F398">
        <v>1766</v>
      </c>
      <c r="G398">
        <v>76</v>
      </c>
      <c r="H398" s="10">
        <v>514.01</v>
      </c>
      <c r="I398">
        <v>1.7999999999999999E-2</v>
      </c>
      <c r="J398">
        <v>4</v>
      </c>
    </row>
    <row r="399" spans="1:10" ht="15" customHeight="1" x14ac:dyDescent="0.25">
      <c r="A399" t="s">
        <v>624</v>
      </c>
      <c r="B399" t="s">
        <v>155</v>
      </c>
      <c r="C399" s="9">
        <v>46024</v>
      </c>
      <c r="D399" s="9">
        <v>46032</v>
      </c>
      <c r="E399">
        <v>0</v>
      </c>
      <c r="F399">
        <v>3141</v>
      </c>
      <c r="G399">
        <v>334</v>
      </c>
      <c r="H399" s="10">
        <v>174.1</v>
      </c>
      <c r="I399">
        <v>4.2999999999999997E-2</v>
      </c>
      <c r="J399">
        <v>3</v>
      </c>
    </row>
    <row r="400" spans="1:10" ht="15" customHeight="1" x14ac:dyDescent="0.25">
      <c r="A400" t="s">
        <v>625</v>
      </c>
      <c r="B400" t="s">
        <v>171</v>
      </c>
      <c r="C400" s="9">
        <v>45922</v>
      </c>
      <c r="D400" s="9">
        <v>45938</v>
      </c>
      <c r="E400">
        <v>0</v>
      </c>
      <c r="F400">
        <v>2800</v>
      </c>
      <c r="G400">
        <v>243</v>
      </c>
      <c r="H400" s="10">
        <v>792.38</v>
      </c>
      <c r="I400">
        <v>-1E-3</v>
      </c>
      <c r="J400">
        <v>1</v>
      </c>
    </row>
    <row r="401" spans="1:10" ht="15" customHeight="1" x14ac:dyDescent="0.25">
      <c r="A401" t="s">
        <v>626</v>
      </c>
      <c r="B401" t="s">
        <v>167</v>
      </c>
      <c r="C401" s="9">
        <v>45900</v>
      </c>
      <c r="D401" s="9">
        <v>45910</v>
      </c>
      <c r="E401">
        <v>0</v>
      </c>
      <c r="F401">
        <v>3087</v>
      </c>
      <c r="G401">
        <v>150</v>
      </c>
      <c r="H401" s="10">
        <v>514.03</v>
      </c>
      <c r="I401">
        <v>-4.8000000000000001E-2</v>
      </c>
      <c r="J401">
        <v>1</v>
      </c>
    </row>
    <row r="402" spans="1:10" ht="15" customHeight="1" x14ac:dyDescent="0.25">
      <c r="A402" t="s">
        <v>627</v>
      </c>
      <c r="B402" t="s">
        <v>195</v>
      </c>
      <c r="C402" s="9">
        <v>45877</v>
      </c>
      <c r="D402" s="9">
        <v>45897</v>
      </c>
      <c r="E402">
        <v>0</v>
      </c>
      <c r="F402">
        <v>4166</v>
      </c>
      <c r="G402">
        <v>255</v>
      </c>
      <c r="H402" s="10">
        <v>134.31</v>
      </c>
      <c r="I402">
        <v>-4.7E-2</v>
      </c>
      <c r="J402">
        <v>5</v>
      </c>
    </row>
    <row r="403" spans="1:10" ht="15" customHeight="1" x14ac:dyDescent="0.25">
      <c r="A403" t="s">
        <v>628</v>
      </c>
      <c r="B403" t="s">
        <v>199</v>
      </c>
      <c r="C403" s="9">
        <v>45926</v>
      </c>
      <c r="D403" s="9">
        <v>45933</v>
      </c>
      <c r="E403">
        <v>0</v>
      </c>
      <c r="F403">
        <v>2537</v>
      </c>
      <c r="G403">
        <v>91</v>
      </c>
      <c r="H403" s="10">
        <v>321.24</v>
      </c>
      <c r="I403">
        <v>-1E-3</v>
      </c>
      <c r="J403">
        <v>3</v>
      </c>
    </row>
    <row r="404" spans="1:10" ht="15" customHeight="1" x14ac:dyDescent="0.25">
      <c r="A404" t="s">
        <v>629</v>
      </c>
      <c r="B404" t="s">
        <v>169</v>
      </c>
      <c r="C404" s="9">
        <v>45785</v>
      </c>
      <c r="D404" s="9">
        <v>45795</v>
      </c>
      <c r="E404">
        <v>0</v>
      </c>
      <c r="F404">
        <v>4701</v>
      </c>
      <c r="G404">
        <v>234</v>
      </c>
      <c r="H404" s="10">
        <v>696.91</v>
      </c>
      <c r="I404">
        <v>-2.7E-2</v>
      </c>
      <c r="J404">
        <v>4</v>
      </c>
    </row>
    <row r="405" spans="1:10" ht="15" customHeight="1" x14ac:dyDescent="0.25">
      <c r="A405" t="s">
        <v>630</v>
      </c>
      <c r="B405" t="s">
        <v>175</v>
      </c>
      <c r="C405" s="9">
        <v>46001</v>
      </c>
      <c r="D405" s="9">
        <v>46015</v>
      </c>
      <c r="E405">
        <v>0</v>
      </c>
      <c r="F405">
        <v>2645</v>
      </c>
      <c r="G405">
        <v>168</v>
      </c>
      <c r="H405" s="10">
        <v>291.14999999999998</v>
      </c>
      <c r="I405">
        <v>-3.2000000000000001E-2</v>
      </c>
      <c r="J405">
        <v>2</v>
      </c>
    </row>
    <row r="406" spans="1:10" ht="15" customHeight="1" x14ac:dyDescent="0.25">
      <c r="A406" t="s">
        <v>631</v>
      </c>
      <c r="B406" t="s">
        <v>207</v>
      </c>
      <c r="C406" s="9">
        <v>46030</v>
      </c>
      <c r="D406" s="9">
        <v>46041</v>
      </c>
      <c r="E406">
        <v>0</v>
      </c>
      <c r="F406">
        <v>2397</v>
      </c>
      <c r="G406">
        <v>116</v>
      </c>
      <c r="H406" s="10">
        <v>840.8</v>
      </c>
      <c r="I406">
        <v>-2.7E-2</v>
      </c>
      <c r="J406">
        <v>3</v>
      </c>
    </row>
    <row r="407" spans="1:10" ht="15" customHeight="1" x14ac:dyDescent="0.25">
      <c r="A407" t="s">
        <v>632</v>
      </c>
      <c r="B407" t="s">
        <v>179</v>
      </c>
      <c r="C407" s="9">
        <v>45926</v>
      </c>
      <c r="D407" s="9">
        <v>45936</v>
      </c>
      <c r="E407">
        <v>0</v>
      </c>
      <c r="F407">
        <v>1378</v>
      </c>
      <c r="G407">
        <v>122</v>
      </c>
      <c r="H407" s="10">
        <v>624.77</v>
      </c>
      <c r="I407">
        <v>8.0000000000000002E-3</v>
      </c>
      <c r="J407">
        <v>4</v>
      </c>
    </row>
    <row r="408" spans="1:10" ht="15" customHeight="1" x14ac:dyDescent="0.25">
      <c r="A408" t="s">
        <v>633</v>
      </c>
      <c r="B408" t="s">
        <v>128</v>
      </c>
      <c r="C408" s="9">
        <v>46036</v>
      </c>
      <c r="D408" s="9">
        <v>46049</v>
      </c>
      <c r="E408">
        <v>0</v>
      </c>
      <c r="F408">
        <v>3126</v>
      </c>
      <c r="G408">
        <v>215</v>
      </c>
      <c r="H408" s="10">
        <v>733.18</v>
      </c>
      <c r="I408">
        <v>4.4999999999999998E-2</v>
      </c>
      <c r="J408">
        <v>3</v>
      </c>
    </row>
    <row r="409" spans="1:10" ht="15" customHeight="1" x14ac:dyDescent="0.25">
      <c r="A409" t="s">
        <v>634</v>
      </c>
      <c r="B409" t="s">
        <v>150</v>
      </c>
      <c r="C409" s="9">
        <v>45959</v>
      </c>
      <c r="D409" s="9">
        <v>45966</v>
      </c>
      <c r="E409">
        <v>0</v>
      </c>
      <c r="F409">
        <v>4411</v>
      </c>
      <c r="G409">
        <v>215</v>
      </c>
      <c r="H409" s="10">
        <v>571.63</v>
      </c>
      <c r="I409">
        <v>-2.7E-2</v>
      </c>
      <c r="J409">
        <v>5</v>
      </c>
    </row>
    <row r="410" spans="1:10" ht="15" customHeight="1" x14ac:dyDescent="0.25">
      <c r="A410" t="s">
        <v>635</v>
      </c>
      <c r="B410" t="s">
        <v>128</v>
      </c>
      <c r="C410" s="9">
        <v>45812</v>
      </c>
      <c r="D410" s="9">
        <v>45823</v>
      </c>
      <c r="E410">
        <v>3</v>
      </c>
      <c r="F410">
        <v>801</v>
      </c>
      <c r="G410">
        <v>52</v>
      </c>
      <c r="H410" s="10">
        <v>609.52</v>
      </c>
      <c r="I410">
        <v>4.4999999999999998E-2</v>
      </c>
      <c r="J410">
        <v>5</v>
      </c>
    </row>
    <row r="411" spans="1:10" ht="15" customHeight="1" x14ac:dyDescent="0.25">
      <c r="A411" t="s">
        <v>636</v>
      </c>
      <c r="B411" t="s">
        <v>133</v>
      </c>
      <c r="C411" s="9">
        <v>45934</v>
      </c>
      <c r="D411" s="9">
        <v>45944</v>
      </c>
      <c r="E411">
        <v>0</v>
      </c>
      <c r="F411">
        <v>2941</v>
      </c>
      <c r="G411">
        <v>135</v>
      </c>
      <c r="H411" s="10">
        <v>826.25</v>
      </c>
      <c r="I411">
        <v>-4.4999999999999998E-2</v>
      </c>
      <c r="J411">
        <v>4</v>
      </c>
    </row>
    <row r="412" spans="1:10" ht="15" customHeight="1" x14ac:dyDescent="0.25">
      <c r="A412" t="s">
        <v>637</v>
      </c>
      <c r="B412" t="s">
        <v>152</v>
      </c>
      <c r="C412" s="9">
        <v>45868</v>
      </c>
      <c r="D412" s="9">
        <v>45881</v>
      </c>
      <c r="E412">
        <v>0</v>
      </c>
      <c r="F412">
        <v>2311</v>
      </c>
      <c r="G412">
        <v>150</v>
      </c>
      <c r="H412" s="10">
        <v>557.41999999999996</v>
      </c>
      <c r="I412">
        <v>2.1000000000000001E-2</v>
      </c>
      <c r="J412">
        <v>4</v>
      </c>
    </row>
    <row r="413" spans="1:10" ht="15" customHeight="1" x14ac:dyDescent="0.25">
      <c r="A413" t="s">
        <v>638</v>
      </c>
      <c r="B413" t="s">
        <v>186</v>
      </c>
      <c r="C413" s="9">
        <v>46030</v>
      </c>
      <c r="D413" s="9">
        <v>46043</v>
      </c>
      <c r="E413">
        <v>0</v>
      </c>
      <c r="F413">
        <v>3308</v>
      </c>
      <c r="G413">
        <v>334</v>
      </c>
      <c r="H413" s="10">
        <v>876.87</v>
      </c>
      <c r="I413">
        <v>3.0000000000000001E-3</v>
      </c>
      <c r="J413">
        <v>3</v>
      </c>
    </row>
    <row r="414" spans="1:10" ht="15" customHeight="1" x14ac:dyDescent="0.25">
      <c r="A414" t="s">
        <v>639</v>
      </c>
      <c r="B414" t="s">
        <v>216</v>
      </c>
      <c r="C414" s="9">
        <v>45941</v>
      </c>
      <c r="D414" s="9">
        <v>45948</v>
      </c>
      <c r="E414">
        <v>0</v>
      </c>
      <c r="F414">
        <v>2658</v>
      </c>
      <c r="G414">
        <v>152</v>
      </c>
      <c r="H414" s="10">
        <v>63.63</v>
      </c>
      <c r="I414">
        <v>4.7E-2</v>
      </c>
      <c r="J414">
        <v>3</v>
      </c>
    </row>
    <row r="415" spans="1:10" ht="15" customHeight="1" x14ac:dyDescent="0.25">
      <c r="A415" t="s">
        <v>640</v>
      </c>
      <c r="B415" t="s">
        <v>158</v>
      </c>
      <c r="C415" s="9">
        <v>45922</v>
      </c>
      <c r="D415" s="9">
        <v>45942</v>
      </c>
      <c r="E415">
        <v>0</v>
      </c>
      <c r="F415">
        <v>4424</v>
      </c>
      <c r="G415">
        <v>367</v>
      </c>
      <c r="H415" s="10">
        <v>810.45</v>
      </c>
      <c r="I415">
        <v>-2.5999999999999999E-2</v>
      </c>
      <c r="J415">
        <v>4</v>
      </c>
    </row>
    <row r="416" spans="1:10" ht="15" customHeight="1" x14ac:dyDescent="0.25">
      <c r="A416" t="s">
        <v>641</v>
      </c>
      <c r="B416" t="s">
        <v>175</v>
      </c>
      <c r="C416" s="9">
        <v>45992</v>
      </c>
      <c r="D416" s="9">
        <v>46011</v>
      </c>
      <c r="E416">
        <v>0</v>
      </c>
      <c r="F416">
        <v>3548</v>
      </c>
      <c r="G416">
        <v>256</v>
      </c>
      <c r="H416" s="10">
        <v>855.65</v>
      </c>
      <c r="I416">
        <v>3.5000000000000003E-2</v>
      </c>
      <c r="J416">
        <v>2</v>
      </c>
    </row>
    <row r="417" spans="1:10" ht="15" customHeight="1" x14ac:dyDescent="0.25">
      <c r="A417" t="s">
        <v>642</v>
      </c>
      <c r="B417" t="s">
        <v>161</v>
      </c>
      <c r="C417" s="9">
        <v>45833</v>
      </c>
      <c r="D417" s="9">
        <v>45840</v>
      </c>
      <c r="E417">
        <v>0</v>
      </c>
      <c r="F417">
        <v>2297</v>
      </c>
      <c r="G417">
        <v>218</v>
      </c>
      <c r="H417" s="10">
        <v>636.5</v>
      </c>
      <c r="I417">
        <v>-3.7999999999999999E-2</v>
      </c>
      <c r="J417">
        <v>1</v>
      </c>
    </row>
    <row r="418" spans="1:10" ht="15" customHeight="1" x14ac:dyDescent="0.25">
      <c r="A418" t="s">
        <v>643</v>
      </c>
      <c r="B418" t="s">
        <v>195</v>
      </c>
      <c r="C418" s="9">
        <v>46015</v>
      </c>
      <c r="D418" s="9">
        <v>46030</v>
      </c>
      <c r="E418">
        <v>0</v>
      </c>
      <c r="F418">
        <v>439</v>
      </c>
      <c r="G418">
        <v>33</v>
      </c>
      <c r="H418" s="10">
        <v>143.66999999999999</v>
      </c>
      <c r="I418">
        <v>6.7000000000000004E-2</v>
      </c>
      <c r="J418">
        <v>2</v>
      </c>
    </row>
    <row r="419" spans="1:10" ht="15" customHeight="1" x14ac:dyDescent="0.25">
      <c r="A419" t="s">
        <v>644</v>
      </c>
      <c r="B419" t="s">
        <v>164</v>
      </c>
      <c r="C419" s="9">
        <v>45985</v>
      </c>
      <c r="D419" s="9">
        <v>45996</v>
      </c>
      <c r="E419">
        <v>0</v>
      </c>
      <c r="F419">
        <v>393</v>
      </c>
      <c r="G419">
        <v>7</v>
      </c>
      <c r="H419" s="10">
        <v>206.04</v>
      </c>
      <c r="I419">
        <v>-3.1E-2</v>
      </c>
      <c r="J419">
        <v>3</v>
      </c>
    </row>
    <row r="420" spans="1:10" ht="15" customHeight="1" x14ac:dyDescent="0.25">
      <c r="A420" t="s">
        <v>645</v>
      </c>
      <c r="B420" t="s">
        <v>171</v>
      </c>
      <c r="C420" s="9">
        <v>46046</v>
      </c>
      <c r="D420" s="9">
        <v>46063</v>
      </c>
      <c r="E420">
        <v>0</v>
      </c>
      <c r="F420">
        <v>1353</v>
      </c>
      <c r="G420">
        <v>120</v>
      </c>
      <c r="H420" s="10">
        <v>342.24</v>
      </c>
      <c r="I420">
        <v>-1.4999999999999999E-2</v>
      </c>
      <c r="J420">
        <v>3</v>
      </c>
    </row>
    <row r="421" spans="1:10" ht="15" customHeight="1" x14ac:dyDescent="0.25">
      <c r="A421" t="s">
        <v>646</v>
      </c>
      <c r="B421" t="s">
        <v>197</v>
      </c>
      <c r="C421" s="9">
        <v>45884</v>
      </c>
      <c r="D421" s="9">
        <v>45898</v>
      </c>
      <c r="E421">
        <v>0</v>
      </c>
      <c r="F421">
        <v>1800</v>
      </c>
      <c r="G421">
        <v>108</v>
      </c>
      <c r="H421" s="10">
        <v>681.35</v>
      </c>
      <c r="I421">
        <v>-3.2000000000000001E-2</v>
      </c>
      <c r="J421">
        <v>4</v>
      </c>
    </row>
    <row r="422" spans="1:10" ht="15" customHeight="1" x14ac:dyDescent="0.25">
      <c r="A422" t="s">
        <v>647</v>
      </c>
      <c r="B422" t="s">
        <v>201</v>
      </c>
      <c r="C422" s="9">
        <v>45928</v>
      </c>
      <c r="D422" s="9">
        <v>45936</v>
      </c>
      <c r="E422">
        <v>0</v>
      </c>
      <c r="F422">
        <v>2179</v>
      </c>
      <c r="G422">
        <v>214</v>
      </c>
      <c r="H422" s="10">
        <v>20.149999999999999</v>
      </c>
      <c r="I422">
        <v>4.2000000000000003E-2</v>
      </c>
      <c r="J422">
        <v>4</v>
      </c>
    </row>
    <row r="423" spans="1:10" ht="15" customHeight="1" x14ac:dyDescent="0.25">
      <c r="A423" t="s">
        <v>648</v>
      </c>
      <c r="B423" t="s">
        <v>193</v>
      </c>
      <c r="C423" s="9">
        <v>45864</v>
      </c>
      <c r="D423" s="9">
        <v>45874</v>
      </c>
      <c r="E423">
        <v>0</v>
      </c>
      <c r="F423">
        <v>829</v>
      </c>
      <c r="G423">
        <v>70</v>
      </c>
      <c r="H423" s="10">
        <v>409.01</v>
      </c>
      <c r="I423">
        <v>1.7000000000000001E-2</v>
      </c>
      <c r="J423">
        <v>1</v>
      </c>
    </row>
    <row r="424" spans="1:10" ht="15" customHeight="1" x14ac:dyDescent="0.25">
      <c r="A424" t="s">
        <v>649</v>
      </c>
      <c r="B424" t="s">
        <v>161</v>
      </c>
      <c r="C424" s="9">
        <v>46027</v>
      </c>
      <c r="D424" s="9">
        <v>46035</v>
      </c>
      <c r="E424">
        <v>0</v>
      </c>
      <c r="F424">
        <v>204</v>
      </c>
      <c r="G424">
        <v>15</v>
      </c>
      <c r="H424" s="10">
        <v>464.33</v>
      </c>
      <c r="I424">
        <v>1.0999999999999999E-2</v>
      </c>
      <c r="J424">
        <v>3</v>
      </c>
    </row>
    <row r="425" spans="1:10" ht="15" customHeight="1" x14ac:dyDescent="0.25">
      <c r="A425" t="s">
        <v>650</v>
      </c>
      <c r="B425" t="s">
        <v>152</v>
      </c>
      <c r="C425" s="9">
        <v>45883</v>
      </c>
      <c r="D425" s="9">
        <v>45895</v>
      </c>
      <c r="E425">
        <v>1</v>
      </c>
      <c r="F425">
        <v>1757</v>
      </c>
      <c r="G425">
        <v>133</v>
      </c>
      <c r="H425" s="10">
        <v>411.19</v>
      </c>
      <c r="I425">
        <v>2.8000000000000001E-2</v>
      </c>
      <c r="J425">
        <v>4</v>
      </c>
    </row>
    <row r="426" spans="1:10" ht="15" customHeight="1" x14ac:dyDescent="0.25">
      <c r="A426" t="s">
        <v>651</v>
      </c>
      <c r="B426" t="s">
        <v>137</v>
      </c>
      <c r="C426" s="9">
        <v>45839</v>
      </c>
      <c r="D426" s="9">
        <v>45847</v>
      </c>
      <c r="E426">
        <v>0</v>
      </c>
      <c r="F426">
        <v>1320</v>
      </c>
      <c r="G426">
        <v>83</v>
      </c>
      <c r="H426" s="10">
        <v>702.26</v>
      </c>
      <c r="I426">
        <v>6.0999999999999999E-2</v>
      </c>
      <c r="J426">
        <v>5</v>
      </c>
    </row>
    <row r="427" spans="1:10" ht="15" customHeight="1" x14ac:dyDescent="0.25">
      <c r="A427" t="s">
        <v>652</v>
      </c>
      <c r="B427" t="s">
        <v>140</v>
      </c>
      <c r="C427" s="9">
        <v>45774</v>
      </c>
      <c r="D427" s="9">
        <v>45793</v>
      </c>
      <c r="E427">
        <v>0</v>
      </c>
      <c r="F427">
        <v>1438</v>
      </c>
      <c r="G427">
        <v>28</v>
      </c>
      <c r="H427" s="10">
        <v>453.96</v>
      </c>
      <c r="I427">
        <v>-4.3999999999999997E-2</v>
      </c>
      <c r="J427">
        <v>4</v>
      </c>
    </row>
    <row r="428" spans="1:10" ht="15" customHeight="1" x14ac:dyDescent="0.25">
      <c r="A428" t="s">
        <v>653</v>
      </c>
      <c r="B428" t="s">
        <v>155</v>
      </c>
      <c r="C428" s="9">
        <v>45755</v>
      </c>
      <c r="D428" s="9">
        <v>45774</v>
      </c>
      <c r="E428">
        <v>3</v>
      </c>
      <c r="F428">
        <v>4843</v>
      </c>
      <c r="G428">
        <v>485</v>
      </c>
      <c r="H428" s="10">
        <v>602.85</v>
      </c>
      <c r="I428">
        <v>4.1000000000000002E-2</v>
      </c>
      <c r="J428">
        <v>4</v>
      </c>
    </row>
    <row r="429" spans="1:10" ht="15" customHeight="1" x14ac:dyDescent="0.25">
      <c r="A429" t="s">
        <v>654</v>
      </c>
      <c r="B429" t="s">
        <v>181</v>
      </c>
      <c r="C429" s="9">
        <v>45937</v>
      </c>
      <c r="D429" s="9">
        <v>45954</v>
      </c>
      <c r="E429">
        <v>0</v>
      </c>
      <c r="F429">
        <v>3923</v>
      </c>
      <c r="G429">
        <v>188</v>
      </c>
      <c r="H429" s="10">
        <v>627.69000000000005</v>
      </c>
      <c r="I429">
        <v>-3.5000000000000003E-2</v>
      </c>
      <c r="J429">
        <v>1</v>
      </c>
    </row>
    <row r="430" spans="1:10" ht="15" customHeight="1" x14ac:dyDescent="0.25">
      <c r="A430" t="s">
        <v>655</v>
      </c>
      <c r="B430" t="s">
        <v>143</v>
      </c>
      <c r="C430" s="9">
        <v>45863</v>
      </c>
      <c r="D430" s="9">
        <v>45876</v>
      </c>
      <c r="E430">
        <v>0</v>
      </c>
      <c r="F430">
        <v>2534</v>
      </c>
      <c r="G430">
        <v>244</v>
      </c>
      <c r="H430" s="10">
        <v>343.18</v>
      </c>
      <c r="I430">
        <v>5.0999999999999997E-2</v>
      </c>
      <c r="J430">
        <v>4</v>
      </c>
    </row>
    <row r="431" spans="1:10" ht="15" customHeight="1" x14ac:dyDescent="0.25">
      <c r="A431" t="s">
        <v>656</v>
      </c>
      <c r="B431" t="s">
        <v>181</v>
      </c>
      <c r="C431" s="9">
        <v>46052</v>
      </c>
      <c r="D431" s="9">
        <v>46064</v>
      </c>
      <c r="E431">
        <v>0</v>
      </c>
      <c r="F431">
        <v>1165</v>
      </c>
      <c r="G431">
        <v>45</v>
      </c>
      <c r="H431" s="10">
        <v>188.67</v>
      </c>
      <c r="I431">
        <v>-2.4E-2</v>
      </c>
      <c r="J431">
        <v>5</v>
      </c>
    </row>
    <row r="432" spans="1:10" ht="15" customHeight="1" x14ac:dyDescent="0.25">
      <c r="A432" t="s">
        <v>657</v>
      </c>
      <c r="B432" t="s">
        <v>152</v>
      </c>
      <c r="C432" s="9">
        <v>45817</v>
      </c>
      <c r="D432" s="9">
        <v>45827</v>
      </c>
      <c r="E432">
        <v>0</v>
      </c>
      <c r="F432">
        <v>4595</v>
      </c>
      <c r="G432">
        <v>217</v>
      </c>
      <c r="H432" s="10">
        <v>260.23</v>
      </c>
      <c r="I432">
        <v>6.6000000000000003E-2</v>
      </c>
      <c r="J432">
        <v>4</v>
      </c>
    </row>
    <row r="433" spans="1:10" ht="15" customHeight="1" x14ac:dyDescent="0.25">
      <c r="A433" t="s">
        <v>658</v>
      </c>
      <c r="B433" t="s">
        <v>150</v>
      </c>
      <c r="C433" s="9">
        <v>45977</v>
      </c>
      <c r="D433" s="9">
        <v>45991</v>
      </c>
      <c r="E433">
        <v>1</v>
      </c>
      <c r="F433">
        <v>3653</v>
      </c>
      <c r="G433">
        <v>190</v>
      </c>
      <c r="H433" s="10">
        <v>290.5</v>
      </c>
      <c r="I433">
        <v>3.4000000000000002E-2</v>
      </c>
      <c r="J433">
        <v>1</v>
      </c>
    </row>
    <row r="434" spans="1:10" ht="15" customHeight="1" x14ac:dyDescent="0.25">
      <c r="A434" t="s">
        <v>659</v>
      </c>
      <c r="B434" t="s">
        <v>208</v>
      </c>
      <c r="C434" s="9">
        <v>45771</v>
      </c>
      <c r="D434" s="9">
        <v>45782</v>
      </c>
      <c r="E434">
        <v>0</v>
      </c>
      <c r="F434">
        <v>3317</v>
      </c>
      <c r="G434">
        <v>280</v>
      </c>
      <c r="H434" s="10">
        <v>843.8</v>
      </c>
      <c r="I434">
        <v>5.3999999999999999E-2</v>
      </c>
      <c r="J434">
        <v>4</v>
      </c>
    </row>
    <row r="435" spans="1:10" ht="15" customHeight="1" x14ac:dyDescent="0.25">
      <c r="A435" t="s">
        <v>660</v>
      </c>
      <c r="B435" t="s">
        <v>150</v>
      </c>
      <c r="C435" s="9">
        <v>45758</v>
      </c>
      <c r="D435" s="9">
        <v>45766</v>
      </c>
      <c r="E435">
        <v>0</v>
      </c>
      <c r="F435">
        <v>3994</v>
      </c>
      <c r="G435">
        <v>181</v>
      </c>
      <c r="H435" s="10">
        <v>126.48</v>
      </c>
      <c r="I435">
        <v>4.5999999999999999E-2</v>
      </c>
      <c r="J435">
        <v>5</v>
      </c>
    </row>
    <row r="436" spans="1:10" ht="15" customHeight="1" x14ac:dyDescent="0.25">
      <c r="A436" t="s">
        <v>661</v>
      </c>
      <c r="B436" t="s">
        <v>150</v>
      </c>
      <c r="C436" s="9">
        <v>45837</v>
      </c>
      <c r="D436" s="9">
        <v>45847</v>
      </c>
      <c r="E436">
        <v>0</v>
      </c>
      <c r="F436">
        <v>486</v>
      </c>
      <c r="G436">
        <v>16</v>
      </c>
      <c r="H436" s="10">
        <v>598.13</v>
      </c>
      <c r="I436">
        <v>7.0999999999999994E-2</v>
      </c>
      <c r="J436">
        <v>2</v>
      </c>
    </row>
    <row r="437" spans="1:10" ht="15" customHeight="1" x14ac:dyDescent="0.25">
      <c r="A437" t="s">
        <v>662</v>
      </c>
      <c r="B437" t="s">
        <v>161</v>
      </c>
      <c r="C437" s="9">
        <v>46071</v>
      </c>
      <c r="D437" s="9">
        <v>46081</v>
      </c>
      <c r="E437">
        <v>6</v>
      </c>
      <c r="F437">
        <v>2254</v>
      </c>
      <c r="G437">
        <v>205</v>
      </c>
      <c r="H437" s="10">
        <v>893.59</v>
      </c>
      <c r="I437">
        <v>-3.4000000000000002E-2</v>
      </c>
      <c r="J437">
        <v>3</v>
      </c>
    </row>
    <row r="438" spans="1:10" ht="15" customHeight="1" x14ac:dyDescent="0.25">
      <c r="A438" t="s">
        <v>663</v>
      </c>
      <c r="B438" t="s">
        <v>200</v>
      </c>
      <c r="C438" s="9">
        <v>45772</v>
      </c>
      <c r="D438" s="9">
        <v>45784</v>
      </c>
      <c r="E438">
        <v>0</v>
      </c>
      <c r="F438">
        <v>2053</v>
      </c>
      <c r="G438">
        <v>131</v>
      </c>
      <c r="H438" s="10">
        <v>896.79</v>
      </c>
      <c r="I438">
        <v>1.7000000000000001E-2</v>
      </c>
      <c r="J438">
        <v>1</v>
      </c>
    </row>
    <row r="439" spans="1:10" ht="15" customHeight="1" x14ac:dyDescent="0.25">
      <c r="A439" t="s">
        <v>664</v>
      </c>
      <c r="B439" t="s">
        <v>150</v>
      </c>
      <c r="C439" s="9">
        <v>45749</v>
      </c>
      <c r="D439" s="9">
        <v>45763</v>
      </c>
      <c r="E439">
        <v>4</v>
      </c>
      <c r="F439">
        <v>177</v>
      </c>
      <c r="G439">
        <v>5</v>
      </c>
      <c r="H439" s="10">
        <v>267.63</v>
      </c>
      <c r="I439">
        <v>1.7000000000000001E-2</v>
      </c>
      <c r="J439">
        <v>1</v>
      </c>
    </row>
    <row r="440" spans="1:10" ht="15" customHeight="1" x14ac:dyDescent="0.25">
      <c r="A440" t="s">
        <v>665</v>
      </c>
      <c r="B440" t="s">
        <v>216</v>
      </c>
      <c r="C440" s="9">
        <v>45826</v>
      </c>
      <c r="D440" s="9">
        <v>45840</v>
      </c>
      <c r="E440">
        <v>0</v>
      </c>
      <c r="F440">
        <v>3791</v>
      </c>
      <c r="G440">
        <v>211</v>
      </c>
      <c r="H440" s="10">
        <v>255.54</v>
      </c>
      <c r="I440">
        <v>6.2E-2</v>
      </c>
      <c r="J440">
        <v>2</v>
      </c>
    </row>
    <row r="441" spans="1:10" ht="15" customHeight="1" x14ac:dyDescent="0.25">
      <c r="A441" t="s">
        <v>666</v>
      </c>
      <c r="B441" t="s">
        <v>212</v>
      </c>
      <c r="C441" s="9">
        <v>45884</v>
      </c>
      <c r="D441" s="9">
        <v>45891</v>
      </c>
      <c r="E441">
        <v>0</v>
      </c>
      <c r="F441">
        <v>2808</v>
      </c>
      <c r="G441">
        <v>163</v>
      </c>
      <c r="H441" s="10">
        <v>173.33</v>
      </c>
      <c r="I441">
        <v>2E-3</v>
      </c>
      <c r="J441">
        <v>4</v>
      </c>
    </row>
    <row r="442" spans="1:10" ht="15" customHeight="1" x14ac:dyDescent="0.25">
      <c r="A442" t="s">
        <v>667</v>
      </c>
      <c r="B442" t="s">
        <v>181</v>
      </c>
      <c r="C442" s="9">
        <v>45753</v>
      </c>
      <c r="D442" s="9">
        <v>45767</v>
      </c>
      <c r="E442">
        <v>0</v>
      </c>
      <c r="F442">
        <v>330</v>
      </c>
      <c r="G442">
        <v>21</v>
      </c>
      <c r="H442" s="10">
        <v>245.66</v>
      </c>
      <c r="I442">
        <v>2.5999999999999999E-2</v>
      </c>
      <c r="J442">
        <v>2</v>
      </c>
    </row>
    <row r="443" spans="1:10" ht="15" customHeight="1" x14ac:dyDescent="0.25">
      <c r="A443" t="s">
        <v>668</v>
      </c>
      <c r="B443" t="s">
        <v>199</v>
      </c>
      <c r="C443" s="9">
        <v>45749</v>
      </c>
      <c r="D443" s="9">
        <v>45767</v>
      </c>
      <c r="E443">
        <v>0</v>
      </c>
      <c r="F443">
        <v>2532</v>
      </c>
      <c r="G443">
        <v>94</v>
      </c>
      <c r="H443" s="10">
        <v>94.63</v>
      </c>
      <c r="I443">
        <v>5.0000000000000001E-3</v>
      </c>
      <c r="J443">
        <v>1</v>
      </c>
    </row>
    <row r="444" spans="1:10" ht="15" customHeight="1" x14ac:dyDescent="0.25">
      <c r="A444" t="s">
        <v>669</v>
      </c>
      <c r="B444" t="s">
        <v>164</v>
      </c>
      <c r="C444" s="9">
        <v>45758</v>
      </c>
      <c r="D444" s="9">
        <v>45770</v>
      </c>
      <c r="E444">
        <v>0</v>
      </c>
      <c r="F444">
        <v>4941</v>
      </c>
      <c r="G444">
        <v>124</v>
      </c>
      <c r="H444" s="10">
        <v>803.17</v>
      </c>
      <c r="I444">
        <v>0.04</v>
      </c>
      <c r="J444">
        <v>3</v>
      </c>
    </row>
    <row r="445" spans="1:10" ht="15" customHeight="1" x14ac:dyDescent="0.25">
      <c r="A445" t="s">
        <v>670</v>
      </c>
      <c r="B445" t="s">
        <v>210</v>
      </c>
      <c r="C445" s="9">
        <v>45829</v>
      </c>
      <c r="D445" s="9">
        <v>45838</v>
      </c>
      <c r="E445">
        <v>0</v>
      </c>
      <c r="F445">
        <v>3746</v>
      </c>
      <c r="G445">
        <v>346</v>
      </c>
      <c r="H445" s="10">
        <v>318.42</v>
      </c>
      <c r="I445">
        <v>-3.4000000000000002E-2</v>
      </c>
      <c r="J445">
        <v>1</v>
      </c>
    </row>
    <row r="446" spans="1:10" ht="15" customHeight="1" x14ac:dyDescent="0.25">
      <c r="A446" t="s">
        <v>671</v>
      </c>
      <c r="B446" t="s">
        <v>122</v>
      </c>
      <c r="C446" s="9">
        <v>45796</v>
      </c>
      <c r="D446" s="9">
        <v>45809</v>
      </c>
      <c r="E446">
        <v>0</v>
      </c>
      <c r="F446">
        <v>4562</v>
      </c>
      <c r="G446">
        <v>397</v>
      </c>
      <c r="H446" s="10">
        <v>30.98</v>
      </c>
      <c r="I446">
        <v>7.8E-2</v>
      </c>
      <c r="J446">
        <v>3</v>
      </c>
    </row>
    <row r="447" spans="1:10" ht="15" customHeight="1" x14ac:dyDescent="0.25">
      <c r="A447" t="s">
        <v>672</v>
      </c>
      <c r="B447" t="s">
        <v>176</v>
      </c>
      <c r="C447" s="9">
        <v>45880</v>
      </c>
      <c r="D447" s="9">
        <v>45892</v>
      </c>
      <c r="E447">
        <v>0</v>
      </c>
      <c r="F447">
        <v>2430</v>
      </c>
      <c r="G447">
        <v>31</v>
      </c>
      <c r="H447" s="10">
        <v>458.24</v>
      </c>
      <c r="I447">
        <v>4.9000000000000002E-2</v>
      </c>
      <c r="J447">
        <v>1</v>
      </c>
    </row>
    <row r="448" spans="1:10" ht="15" customHeight="1" x14ac:dyDescent="0.25">
      <c r="A448" t="s">
        <v>673</v>
      </c>
      <c r="B448" t="s">
        <v>150</v>
      </c>
      <c r="C448" s="9">
        <v>45966</v>
      </c>
      <c r="D448" s="9">
        <v>45984</v>
      </c>
      <c r="E448">
        <v>3</v>
      </c>
      <c r="F448">
        <v>1357</v>
      </c>
      <c r="G448">
        <v>63</v>
      </c>
      <c r="H448" s="10">
        <v>423.02</v>
      </c>
      <c r="I448">
        <v>-2.3E-2</v>
      </c>
      <c r="J448">
        <v>2</v>
      </c>
    </row>
    <row r="449" spans="1:10" ht="15" customHeight="1" x14ac:dyDescent="0.25">
      <c r="A449" t="s">
        <v>674</v>
      </c>
      <c r="B449" t="s">
        <v>189</v>
      </c>
      <c r="C449" s="9">
        <v>45768</v>
      </c>
      <c r="D449" s="9">
        <v>45778</v>
      </c>
      <c r="E449">
        <v>0</v>
      </c>
      <c r="F449">
        <v>4613</v>
      </c>
      <c r="G449">
        <v>248</v>
      </c>
      <c r="H449" s="10">
        <v>688</v>
      </c>
      <c r="I449">
        <v>2.7E-2</v>
      </c>
      <c r="J449">
        <v>2</v>
      </c>
    </row>
    <row r="450" spans="1:10" ht="15" customHeight="1" x14ac:dyDescent="0.25">
      <c r="A450" t="s">
        <v>675</v>
      </c>
      <c r="B450" t="s">
        <v>176</v>
      </c>
      <c r="C450" s="9">
        <v>46035</v>
      </c>
      <c r="D450" s="9">
        <v>46055</v>
      </c>
      <c r="E450">
        <v>0</v>
      </c>
      <c r="F450">
        <v>1811</v>
      </c>
      <c r="G450">
        <v>3</v>
      </c>
      <c r="H450" s="10">
        <v>57.74</v>
      </c>
      <c r="I450">
        <v>1.4E-2</v>
      </c>
      <c r="J450">
        <v>1</v>
      </c>
    </row>
    <row r="451" spans="1:10" ht="15" customHeight="1" x14ac:dyDescent="0.25">
      <c r="A451" t="s">
        <v>676</v>
      </c>
      <c r="B451" t="s">
        <v>169</v>
      </c>
      <c r="C451" s="9">
        <v>45772</v>
      </c>
      <c r="D451" s="9">
        <v>45787</v>
      </c>
      <c r="E451">
        <v>0</v>
      </c>
      <c r="F451">
        <v>1667</v>
      </c>
      <c r="G451">
        <v>123</v>
      </c>
      <c r="H451" s="10">
        <v>469.85</v>
      </c>
      <c r="I451">
        <v>3.6999999999999998E-2</v>
      </c>
      <c r="J451">
        <v>1</v>
      </c>
    </row>
    <row r="452" spans="1:10" ht="15" customHeight="1" x14ac:dyDescent="0.25">
      <c r="A452" t="s">
        <v>677</v>
      </c>
      <c r="B452" t="s">
        <v>175</v>
      </c>
      <c r="C452" s="9">
        <v>45973</v>
      </c>
      <c r="D452" s="9">
        <v>45983</v>
      </c>
      <c r="E452">
        <v>0</v>
      </c>
      <c r="F452">
        <v>4603</v>
      </c>
      <c r="G452">
        <v>364</v>
      </c>
      <c r="H452" s="10">
        <v>156.26</v>
      </c>
      <c r="I452">
        <v>2.7E-2</v>
      </c>
      <c r="J452">
        <v>1</v>
      </c>
    </row>
    <row r="453" spans="1:10" ht="15" customHeight="1" x14ac:dyDescent="0.25">
      <c r="A453" t="s">
        <v>678</v>
      </c>
      <c r="B453" t="s">
        <v>133</v>
      </c>
      <c r="C453" s="9">
        <v>45757</v>
      </c>
      <c r="D453" s="9">
        <v>45767</v>
      </c>
      <c r="E453">
        <v>0</v>
      </c>
      <c r="F453">
        <v>669</v>
      </c>
      <c r="G453">
        <v>33</v>
      </c>
      <c r="H453" s="10">
        <v>255.54</v>
      </c>
      <c r="I453">
        <v>-4.3999999999999997E-2</v>
      </c>
      <c r="J453">
        <v>3</v>
      </c>
    </row>
    <row r="454" spans="1:10" ht="15" customHeight="1" x14ac:dyDescent="0.25">
      <c r="A454" t="s">
        <v>679</v>
      </c>
      <c r="B454" t="s">
        <v>214</v>
      </c>
      <c r="C454" s="9">
        <v>45970</v>
      </c>
      <c r="D454" s="9">
        <v>45976</v>
      </c>
      <c r="E454">
        <v>0</v>
      </c>
      <c r="F454">
        <v>1216</v>
      </c>
      <c r="G454">
        <v>36</v>
      </c>
      <c r="H454" s="10">
        <v>498.88</v>
      </c>
      <c r="I454">
        <v>-2.4E-2</v>
      </c>
      <c r="J454">
        <v>5</v>
      </c>
    </row>
    <row r="455" spans="1:10" ht="15" customHeight="1" x14ac:dyDescent="0.25">
      <c r="A455" t="s">
        <v>680</v>
      </c>
      <c r="B455" t="s">
        <v>179</v>
      </c>
      <c r="C455" s="9">
        <v>45837</v>
      </c>
      <c r="D455" s="9">
        <v>45853</v>
      </c>
      <c r="E455">
        <v>0</v>
      </c>
      <c r="F455">
        <v>4025</v>
      </c>
      <c r="G455">
        <v>326</v>
      </c>
      <c r="H455" s="10">
        <v>440.26</v>
      </c>
      <c r="I455">
        <v>-2.1000000000000001E-2</v>
      </c>
      <c r="J455">
        <v>3</v>
      </c>
    </row>
    <row r="456" spans="1:10" ht="15" customHeight="1" x14ac:dyDescent="0.25">
      <c r="A456" t="s">
        <v>681</v>
      </c>
      <c r="B456" t="s">
        <v>189</v>
      </c>
      <c r="C456" s="9">
        <v>45928</v>
      </c>
      <c r="D456" s="9">
        <v>45939</v>
      </c>
      <c r="E456">
        <v>0</v>
      </c>
      <c r="F456">
        <v>4550</v>
      </c>
      <c r="G456">
        <v>276</v>
      </c>
      <c r="H456" s="10">
        <v>156.69</v>
      </c>
      <c r="I456">
        <v>4.4999999999999998E-2</v>
      </c>
      <c r="J456">
        <v>1</v>
      </c>
    </row>
    <row r="457" spans="1:10" ht="15" customHeight="1" x14ac:dyDescent="0.25">
      <c r="A457" t="s">
        <v>682</v>
      </c>
      <c r="B457" t="s">
        <v>203</v>
      </c>
      <c r="C457" s="9">
        <v>45776</v>
      </c>
      <c r="D457" s="9">
        <v>45781</v>
      </c>
      <c r="E457">
        <v>0</v>
      </c>
      <c r="F457">
        <v>2367</v>
      </c>
      <c r="G457">
        <v>47</v>
      </c>
      <c r="H457" s="10">
        <v>578.83000000000004</v>
      </c>
      <c r="I457">
        <v>2.1000000000000001E-2</v>
      </c>
      <c r="J457">
        <v>1</v>
      </c>
    </row>
    <row r="458" spans="1:10" ht="15" customHeight="1" x14ac:dyDescent="0.25">
      <c r="A458" t="s">
        <v>683</v>
      </c>
      <c r="B458" t="s">
        <v>137</v>
      </c>
      <c r="C458" s="9">
        <v>45888</v>
      </c>
      <c r="D458" s="9">
        <v>45898</v>
      </c>
      <c r="E458">
        <v>0</v>
      </c>
      <c r="F458">
        <v>3520</v>
      </c>
      <c r="G458">
        <v>203</v>
      </c>
      <c r="H458" s="10">
        <v>102.04</v>
      </c>
      <c r="I458">
        <v>7.5999999999999998E-2</v>
      </c>
      <c r="J458">
        <v>1</v>
      </c>
    </row>
    <row r="459" spans="1:10" ht="15" customHeight="1" x14ac:dyDescent="0.25">
      <c r="A459" t="s">
        <v>684</v>
      </c>
      <c r="B459" t="s">
        <v>167</v>
      </c>
      <c r="C459" s="9">
        <v>45980</v>
      </c>
      <c r="D459" s="9">
        <v>45998</v>
      </c>
      <c r="E459">
        <v>0</v>
      </c>
      <c r="F459">
        <v>1003</v>
      </c>
      <c r="G459">
        <v>52</v>
      </c>
      <c r="H459" s="10">
        <v>223.42</v>
      </c>
      <c r="I459">
        <v>6.5000000000000002E-2</v>
      </c>
      <c r="J459">
        <v>4</v>
      </c>
    </row>
    <row r="460" spans="1:10" ht="15" customHeight="1" x14ac:dyDescent="0.25">
      <c r="A460" t="s">
        <v>685</v>
      </c>
      <c r="B460" t="s">
        <v>175</v>
      </c>
      <c r="C460" s="9">
        <v>45751</v>
      </c>
      <c r="D460" s="9">
        <v>45771</v>
      </c>
      <c r="E460">
        <v>0</v>
      </c>
      <c r="F460">
        <v>4214</v>
      </c>
      <c r="G460">
        <v>329</v>
      </c>
      <c r="H460" s="10">
        <v>200.17</v>
      </c>
      <c r="I460">
        <v>-2.1999999999999999E-2</v>
      </c>
      <c r="J460">
        <v>2</v>
      </c>
    </row>
    <row r="461" spans="1:10" ht="15" customHeight="1" x14ac:dyDescent="0.25">
      <c r="A461" t="s">
        <v>686</v>
      </c>
      <c r="B461" t="s">
        <v>158</v>
      </c>
      <c r="C461" s="9">
        <v>45802</v>
      </c>
      <c r="D461" s="9">
        <v>45807</v>
      </c>
      <c r="E461">
        <v>0</v>
      </c>
      <c r="F461">
        <v>3057</v>
      </c>
      <c r="G461">
        <v>182</v>
      </c>
      <c r="H461" s="10">
        <v>756.26</v>
      </c>
      <c r="I461">
        <v>7.8E-2</v>
      </c>
      <c r="J461">
        <v>1</v>
      </c>
    </row>
    <row r="462" spans="1:10" ht="15" customHeight="1" x14ac:dyDescent="0.25">
      <c r="A462" t="s">
        <v>687</v>
      </c>
      <c r="B462" t="s">
        <v>152</v>
      </c>
      <c r="C462" s="9">
        <v>45940</v>
      </c>
      <c r="D462" s="9">
        <v>45960</v>
      </c>
      <c r="E462">
        <v>0</v>
      </c>
      <c r="F462">
        <v>2150</v>
      </c>
      <c r="G462">
        <v>84</v>
      </c>
      <c r="H462" s="10">
        <v>237.14</v>
      </c>
      <c r="I462">
        <v>4.3999999999999997E-2</v>
      </c>
      <c r="J462">
        <v>2</v>
      </c>
    </row>
    <row r="463" spans="1:10" ht="15" customHeight="1" x14ac:dyDescent="0.25">
      <c r="A463" t="s">
        <v>688</v>
      </c>
      <c r="B463" t="s">
        <v>181</v>
      </c>
      <c r="C463" s="9">
        <v>46026</v>
      </c>
      <c r="D463" s="9">
        <v>46031</v>
      </c>
      <c r="E463">
        <v>0</v>
      </c>
      <c r="F463">
        <v>4250</v>
      </c>
      <c r="G463">
        <v>243</v>
      </c>
      <c r="H463" s="10">
        <v>562.33000000000004</v>
      </c>
      <c r="I463">
        <v>-1.2E-2</v>
      </c>
      <c r="J463">
        <v>2</v>
      </c>
    </row>
    <row r="464" spans="1:10" ht="15" customHeight="1" x14ac:dyDescent="0.25">
      <c r="A464" t="s">
        <v>689</v>
      </c>
      <c r="B464" t="s">
        <v>175</v>
      </c>
      <c r="C464" s="9">
        <v>45921</v>
      </c>
      <c r="D464" s="9">
        <v>45932</v>
      </c>
      <c r="E464">
        <v>0</v>
      </c>
      <c r="F464">
        <v>3569</v>
      </c>
      <c r="G464">
        <v>289</v>
      </c>
      <c r="H464" s="10">
        <v>352.31</v>
      </c>
      <c r="I464">
        <v>2.8000000000000001E-2</v>
      </c>
      <c r="J464">
        <v>4</v>
      </c>
    </row>
    <row r="465" spans="1:10" ht="15" customHeight="1" x14ac:dyDescent="0.25">
      <c r="A465" t="s">
        <v>690</v>
      </c>
      <c r="B465" t="s">
        <v>175</v>
      </c>
      <c r="C465" s="9">
        <v>45976</v>
      </c>
      <c r="D465" s="9">
        <v>45982</v>
      </c>
      <c r="E465">
        <v>0</v>
      </c>
      <c r="F465">
        <v>2111</v>
      </c>
      <c r="G465">
        <v>144</v>
      </c>
      <c r="H465" s="10">
        <v>572.69000000000005</v>
      </c>
      <c r="I465">
        <v>7.2999999999999995E-2</v>
      </c>
      <c r="J465">
        <v>2</v>
      </c>
    </row>
    <row r="466" spans="1:10" ht="15" customHeight="1" x14ac:dyDescent="0.25">
      <c r="A466" t="s">
        <v>691</v>
      </c>
      <c r="B466" t="s">
        <v>143</v>
      </c>
      <c r="C466" s="9">
        <v>45810</v>
      </c>
      <c r="D466" s="9">
        <v>45824</v>
      </c>
      <c r="E466">
        <v>1</v>
      </c>
      <c r="F466">
        <v>1533</v>
      </c>
      <c r="G466">
        <v>133</v>
      </c>
      <c r="H466" s="10">
        <v>227.44</v>
      </c>
      <c r="I466">
        <v>1.2E-2</v>
      </c>
      <c r="J466">
        <v>3</v>
      </c>
    </row>
    <row r="467" spans="1:10" ht="15" customHeight="1" x14ac:dyDescent="0.25">
      <c r="A467" t="s">
        <v>692</v>
      </c>
      <c r="B467" t="s">
        <v>210</v>
      </c>
      <c r="C467" s="9">
        <v>45964</v>
      </c>
      <c r="D467" s="9">
        <v>45970</v>
      </c>
      <c r="E467">
        <v>0</v>
      </c>
      <c r="F467">
        <v>3724</v>
      </c>
      <c r="G467">
        <v>278</v>
      </c>
      <c r="H467" s="10">
        <v>363.54</v>
      </c>
      <c r="I467">
        <v>-3.2000000000000001E-2</v>
      </c>
      <c r="J467">
        <v>4</v>
      </c>
    </row>
    <row r="468" spans="1:10" ht="15" customHeight="1" x14ac:dyDescent="0.25">
      <c r="A468" t="s">
        <v>693</v>
      </c>
      <c r="B468" t="s">
        <v>155</v>
      </c>
      <c r="C468" s="9">
        <v>46070</v>
      </c>
      <c r="D468" s="9">
        <v>46085</v>
      </c>
      <c r="E468">
        <v>0</v>
      </c>
      <c r="F468">
        <v>2679</v>
      </c>
      <c r="G468">
        <v>220</v>
      </c>
      <c r="H468" s="10">
        <v>338.4</v>
      </c>
      <c r="I468">
        <v>-0.03</v>
      </c>
      <c r="J468">
        <v>5</v>
      </c>
    </row>
    <row r="469" spans="1:10" ht="15" customHeight="1" x14ac:dyDescent="0.25">
      <c r="A469" t="s">
        <v>694</v>
      </c>
      <c r="B469" t="s">
        <v>208</v>
      </c>
      <c r="C469" s="9">
        <v>45942</v>
      </c>
      <c r="D469" s="9">
        <v>45958</v>
      </c>
      <c r="E469">
        <v>0</v>
      </c>
      <c r="F469">
        <v>2788</v>
      </c>
      <c r="G469">
        <v>236</v>
      </c>
      <c r="H469" s="10">
        <v>351.77</v>
      </c>
      <c r="I469">
        <v>-3.3000000000000002E-2</v>
      </c>
      <c r="J469">
        <v>2</v>
      </c>
    </row>
    <row r="470" spans="1:10" ht="15" customHeight="1" x14ac:dyDescent="0.25">
      <c r="A470" t="s">
        <v>695</v>
      </c>
      <c r="B470" t="s">
        <v>122</v>
      </c>
      <c r="C470" s="9">
        <v>45847</v>
      </c>
      <c r="D470" s="9">
        <v>45866</v>
      </c>
      <c r="E470">
        <v>0</v>
      </c>
      <c r="F470">
        <v>2100</v>
      </c>
      <c r="G470">
        <v>184</v>
      </c>
      <c r="H470" s="10">
        <v>125.04</v>
      </c>
      <c r="I470">
        <v>0.02</v>
      </c>
      <c r="J470">
        <v>5</v>
      </c>
    </row>
    <row r="471" spans="1:10" ht="15" customHeight="1" x14ac:dyDescent="0.25">
      <c r="A471" t="s">
        <v>696</v>
      </c>
      <c r="B471" t="s">
        <v>143</v>
      </c>
      <c r="C471" s="9">
        <v>45797</v>
      </c>
      <c r="D471" s="9">
        <v>45805</v>
      </c>
      <c r="E471">
        <v>0</v>
      </c>
      <c r="F471">
        <v>1707</v>
      </c>
      <c r="G471">
        <v>180</v>
      </c>
      <c r="H471" s="10">
        <v>135.02000000000001</v>
      </c>
      <c r="I471">
        <v>7.8E-2</v>
      </c>
      <c r="J471">
        <v>1</v>
      </c>
    </row>
    <row r="472" spans="1:10" ht="15" customHeight="1" x14ac:dyDescent="0.25">
      <c r="A472" t="s">
        <v>697</v>
      </c>
      <c r="B472" t="s">
        <v>164</v>
      </c>
      <c r="C472" s="9">
        <v>45811</v>
      </c>
      <c r="D472" s="9">
        <v>45820</v>
      </c>
      <c r="E472">
        <v>0</v>
      </c>
      <c r="F472">
        <v>2877</v>
      </c>
      <c r="G472">
        <v>69</v>
      </c>
      <c r="H472" s="10">
        <v>256.79000000000002</v>
      </c>
      <c r="I472">
        <v>7.1999999999999995E-2</v>
      </c>
      <c r="J472">
        <v>1</v>
      </c>
    </row>
    <row r="473" spans="1:10" ht="15" customHeight="1" x14ac:dyDescent="0.25">
      <c r="A473" t="s">
        <v>698</v>
      </c>
      <c r="B473" t="s">
        <v>189</v>
      </c>
      <c r="C473" s="9">
        <v>45803</v>
      </c>
      <c r="D473" s="9">
        <v>45809</v>
      </c>
      <c r="E473">
        <v>2</v>
      </c>
      <c r="F473">
        <v>3116</v>
      </c>
      <c r="G473">
        <v>154</v>
      </c>
      <c r="H473" s="10">
        <v>604.94000000000005</v>
      </c>
      <c r="I473">
        <v>-4.2000000000000003E-2</v>
      </c>
      <c r="J473">
        <v>2</v>
      </c>
    </row>
    <row r="474" spans="1:10" ht="15" customHeight="1" x14ac:dyDescent="0.25">
      <c r="A474" t="s">
        <v>699</v>
      </c>
      <c r="B474" t="s">
        <v>161</v>
      </c>
      <c r="C474" s="9">
        <v>45865</v>
      </c>
      <c r="D474" s="9">
        <v>45881</v>
      </c>
      <c r="E474">
        <v>0</v>
      </c>
      <c r="F474">
        <v>984</v>
      </c>
      <c r="G474">
        <v>86</v>
      </c>
      <c r="H474" s="10">
        <v>116.55</v>
      </c>
      <c r="I474">
        <v>-2.3E-2</v>
      </c>
      <c r="J474">
        <v>5</v>
      </c>
    </row>
    <row r="475" spans="1:10" ht="15" customHeight="1" x14ac:dyDescent="0.25">
      <c r="A475" t="s">
        <v>700</v>
      </c>
      <c r="B475" t="s">
        <v>203</v>
      </c>
      <c r="C475" s="9">
        <v>45827</v>
      </c>
      <c r="D475" s="9">
        <v>45840</v>
      </c>
      <c r="E475">
        <v>0</v>
      </c>
      <c r="F475">
        <v>1735</v>
      </c>
      <c r="G475">
        <v>0</v>
      </c>
      <c r="H475" s="10">
        <v>624.88</v>
      </c>
      <c r="I475">
        <v>-3.1E-2</v>
      </c>
      <c r="J475">
        <v>5</v>
      </c>
    </row>
    <row r="476" spans="1:10" ht="15" customHeight="1" x14ac:dyDescent="0.25">
      <c r="A476" t="s">
        <v>701</v>
      </c>
      <c r="B476" t="s">
        <v>155</v>
      </c>
      <c r="C476" s="9">
        <v>45864</v>
      </c>
      <c r="D476" s="9">
        <v>45870</v>
      </c>
      <c r="E476">
        <v>0</v>
      </c>
      <c r="F476">
        <v>2723</v>
      </c>
      <c r="G476">
        <v>239</v>
      </c>
      <c r="H476" s="10">
        <v>68.39</v>
      </c>
      <c r="I476">
        <v>-1.2E-2</v>
      </c>
      <c r="J476">
        <v>4</v>
      </c>
    </row>
    <row r="477" spans="1:10" ht="15" customHeight="1" x14ac:dyDescent="0.25">
      <c r="A477" t="s">
        <v>702</v>
      </c>
      <c r="B477" t="s">
        <v>169</v>
      </c>
      <c r="C477" s="9">
        <v>45817</v>
      </c>
      <c r="D477" s="9">
        <v>45830</v>
      </c>
      <c r="E477">
        <v>0</v>
      </c>
      <c r="F477">
        <v>1320</v>
      </c>
      <c r="G477">
        <v>82</v>
      </c>
      <c r="H477" s="10">
        <v>252.85</v>
      </c>
      <c r="I477">
        <v>-3.7999999999999999E-2</v>
      </c>
      <c r="J477">
        <v>5</v>
      </c>
    </row>
    <row r="478" spans="1:10" ht="15" customHeight="1" x14ac:dyDescent="0.25">
      <c r="A478" t="s">
        <v>703</v>
      </c>
      <c r="B478" t="s">
        <v>212</v>
      </c>
      <c r="C478" s="9">
        <v>45996</v>
      </c>
      <c r="D478" s="9">
        <v>46011</v>
      </c>
      <c r="E478">
        <v>0</v>
      </c>
      <c r="F478">
        <v>2091</v>
      </c>
      <c r="G478">
        <v>127</v>
      </c>
      <c r="H478" s="10">
        <v>99.87</v>
      </c>
      <c r="I478">
        <v>4.5999999999999999E-2</v>
      </c>
      <c r="J478">
        <v>3</v>
      </c>
    </row>
    <row r="479" spans="1:10" ht="15" customHeight="1" x14ac:dyDescent="0.25">
      <c r="A479" t="s">
        <v>704</v>
      </c>
      <c r="B479" t="s">
        <v>183</v>
      </c>
      <c r="C479" s="9">
        <v>46085</v>
      </c>
      <c r="D479" s="9">
        <v>46092</v>
      </c>
      <c r="E479">
        <v>0</v>
      </c>
      <c r="F479">
        <v>4285</v>
      </c>
      <c r="G479">
        <v>174</v>
      </c>
      <c r="H479" s="10">
        <v>614.24</v>
      </c>
      <c r="I479">
        <v>1.9E-2</v>
      </c>
      <c r="J479">
        <v>5</v>
      </c>
    </row>
    <row r="480" spans="1:10" ht="15" customHeight="1" x14ac:dyDescent="0.25">
      <c r="A480" t="s">
        <v>705</v>
      </c>
      <c r="B480" t="s">
        <v>147</v>
      </c>
      <c r="C480" s="9">
        <v>45876</v>
      </c>
      <c r="D480" s="9">
        <v>45887</v>
      </c>
      <c r="E480">
        <v>0</v>
      </c>
      <c r="F480">
        <v>3565</v>
      </c>
      <c r="G480">
        <v>356</v>
      </c>
      <c r="H480" s="10">
        <v>789.04</v>
      </c>
      <c r="I480">
        <v>5.6000000000000001E-2</v>
      </c>
      <c r="J480">
        <v>1</v>
      </c>
    </row>
    <row r="481" spans="1:10" ht="15" customHeight="1" x14ac:dyDescent="0.25">
      <c r="A481" t="s">
        <v>706</v>
      </c>
      <c r="B481" t="s">
        <v>207</v>
      </c>
      <c r="C481" s="9">
        <v>45960</v>
      </c>
      <c r="D481" s="9">
        <v>45975</v>
      </c>
      <c r="E481">
        <v>0</v>
      </c>
      <c r="F481">
        <v>2730</v>
      </c>
      <c r="G481">
        <v>144</v>
      </c>
      <c r="H481" s="10">
        <v>328.48</v>
      </c>
      <c r="I481">
        <v>0.02</v>
      </c>
      <c r="J481">
        <v>1</v>
      </c>
    </row>
    <row r="482" spans="1:10" ht="15" customHeight="1" x14ac:dyDescent="0.25">
      <c r="A482" t="s">
        <v>707</v>
      </c>
      <c r="B482" t="s">
        <v>210</v>
      </c>
      <c r="C482" s="9">
        <v>46025</v>
      </c>
      <c r="D482" s="9">
        <v>46044</v>
      </c>
      <c r="E482">
        <v>0</v>
      </c>
      <c r="F482">
        <v>2925</v>
      </c>
      <c r="G482">
        <v>232</v>
      </c>
      <c r="H482" s="10">
        <v>630.17999999999995</v>
      </c>
      <c r="I482">
        <v>3.7999999999999999E-2</v>
      </c>
      <c r="J482">
        <v>2</v>
      </c>
    </row>
    <row r="483" spans="1:10" ht="15" customHeight="1" x14ac:dyDescent="0.25">
      <c r="A483" t="s">
        <v>708</v>
      </c>
      <c r="B483" t="s">
        <v>137</v>
      </c>
      <c r="C483" s="9">
        <v>45875</v>
      </c>
      <c r="D483" s="9">
        <v>45890</v>
      </c>
      <c r="E483">
        <v>0</v>
      </c>
      <c r="F483">
        <v>1336</v>
      </c>
      <c r="G483">
        <v>75</v>
      </c>
      <c r="H483" s="10">
        <v>306.37</v>
      </c>
      <c r="I483">
        <v>5.1999999999999998E-2</v>
      </c>
      <c r="J483">
        <v>2</v>
      </c>
    </row>
    <row r="484" spans="1:10" ht="15" customHeight="1" x14ac:dyDescent="0.25">
      <c r="A484" t="s">
        <v>709</v>
      </c>
      <c r="B484" t="s">
        <v>158</v>
      </c>
      <c r="C484" s="9">
        <v>45993</v>
      </c>
      <c r="D484" s="9">
        <v>46006</v>
      </c>
      <c r="E484">
        <v>0</v>
      </c>
      <c r="F484">
        <v>4589</v>
      </c>
      <c r="G484">
        <v>247</v>
      </c>
      <c r="H484" s="10">
        <v>484.2</v>
      </c>
      <c r="I484">
        <v>2.5000000000000001E-2</v>
      </c>
      <c r="J484">
        <v>3</v>
      </c>
    </row>
    <row r="485" spans="1:10" ht="15" customHeight="1" x14ac:dyDescent="0.25">
      <c r="A485" t="s">
        <v>710</v>
      </c>
      <c r="B485" t="s">
        <v>183</v>
      </c>
      <c r="C485" s="9">
        <v>46077</v>
      </c>
      <c r="D485" s="9">
        <v>46088</v>
      </c>
      <c r="E485">
        <v>0</v>
      </c>
      <c r="F485">
        <v>3478</v>
      </c>
      <c r="G485">
        <v>120</v>
      </c>
      <c r="H485" s="10">
        <v>473.07</v>
      </c>
      <c r="I485">
        <v>-2.8000000000000001E-2</v>
      </c>
      <c r="J485">
        <v>2</v>
      </c>
    </row>
    <row r="486" spans="1:10" ht="15" customHeight="1" x14ac:dyDescent="0.25">
      <c r="A486" t="s">
        <v>711</v>
      </c>
      <c r="B486" t="s">
        <v>158</v>
      </c>
      <c r="C486" s="9">
        <v>45786</v>
      </c>
      <c r="D486" s="9">
        <v>45797</v>
      </c>
      <c r="E486">
        <v>0</v>
      </c>
      <c r="F486">
        <v>4712</v>
      </c>
      <c r="G486">
        <v>296</v>
      </c>
      <c r="H486" s="10">
        <v>354.28</v>
      </c>
      <c r="I486">
        <v>-1.2E-2</v>
      </c>
      <c r="J486">
        <v>3</v>
      </c>
    </row>
    <row r="487" spans="1:10" ht="15" customHeight="1" x14ac:dyDescent="0.25">
      <c r="A487" t="s">
        <v>712</v>
      </c>
      <c r="B487" t="s">
        <v>161</v>
      </c>
      <c r="C487" s="9">
        <v>46017</v>
      </c>
      <c r="D487" s="9">
        <v>46032</v>
      </c>
      <c r="E487">
        <v>0</v>
      </c>
      <c r="F487">
        <v>167</v>
      </c>
      <c r="G487">
        <v>18</v>
      </c>
      <c r="H487" s="10">
        <v>500.98</v>
      </c>
      <c r="I487">
        <v>-4.1000000000000002E-2</v>
      </c>
      <c r="J487">
        <v>4</v>
      </c>
    </row>
    <row r="488" spans="1:10" ht="15" customHeight="1" x14ac:dyDescent="0.25">
      <c r="A488" t="s">
        <v>713</v>
      </c>
      <c r="B488" t="s">
        <v>176</v>
      </c>
      <c r="C488" s="9">
        <v>46014</v>
      </c>
      <c r="D488" s="9">
        <v>46028</v>
      </c>
      <c r="E488">
        <v>1</v>
      </c>
      <c r="F488">
        <v>4915</v>
      </c>
      <c r="G488">
        <v>81</v>
      </c>
      <c r="H488" s="10">
        <v>344.05</v>
      </c>
      <c r="I488">
        <v>0</v>
      </c>
      <c r="J488">
        <v>5</v>
      </c>
    </row>
    <row r="489" spans="1:10" ht="15" customHeight="1" x14ac:dyDescent="0.25">
      <c r="A489" t="s">
        <v>714</v>
      </c>
      <c r="B489" t="s">
        <v>216</v>
      </c>
      <c r="C489" s="9">
        <v>45942</v>
      </c>
      <c r="D489" s="9">
        <v>45947</v>
      </c>
      <c r="E489">
        <v>0</v>
      </c>
      <c r="F489">
        <v>2400</v>
      </c>
      <c r="G489">
        <v>158</v>
      </c>
      <c r="H489" s="10">
        <v>49.92</v>
      </c>
      <c r="I489">
        <v>2E-3</v>
      </c>
      <c r="J489">
        <v>5</v>
      </c>
    </row>
    <row r="490" spans="1:10" ht="15" customHeight="1" x14ac:dyDescent="0.25">
      <c r="A490" t="s">
        <v>715</v>
      </c>
      <c r="B490" t="s">
        <v>205</v>
      </c>
      <c r="C490" s="9">
        <v>45887</v>
      </c>
      <c r="D490" s="9">
        <v>45907</v>
      </c>
      <c r="E490">
        <v>0</v>
      </c>
      <c r="F490">
        <v>680</v>
      </c>
      <c r="G490">
        <v>9</v>
      </c>
      <c r="H490" s="10">
        <v>245.53</v>
      </c>
      <c r="I490">
        <v>-1.2E-2</v>
      </c>
      <c r="J490">
        <v>3</v>
      </c>
    </row>
    <row r="491" spans="1:10" ht="15" customHeight="1" x14ac:dyDescent="0.25">
      <c r="A491" t="s">
        <v>716</v>
      </c>
      <c r="B491" t="s">
        <v>201</v>
      </c>
      <c r="C491" s="9">
        <v>46049</v>
      </c>
      <c r="D491" s="9">
        <v>46058</v>
      </c>
      <c r="E491">
        <v>0</v>
      </c>
      <c r="F491">
        <v>2997</v>
      </c>
      <c r="G491">
        <v>308</v>
      </c>
      <c r="H491" s="10">
        <v>839.15</v>
      </c>
      <c r="I491">
        <v>3.6999999999999998E-2</v>
      </c>
      <c r="J491">
        <v>2</v>
      </c>
    </row>
    <row r="492" spans="1:10" ht="15" customHeight="1" x14ac:dyDescent="0.25">
      <c r="A492" t="s">
        <v>717</v>
      </c>
      <c r="B492" t="s">
        <v>122</v>
      </c>
      <c r="C492" s="9">
        <v>45821</v>
      </c>
      <c r="D492" s="9">
        <v>45840</v>
      </c>
      <c r="E492">
        <v>0</v>
      </c>
      <c r="F492">
        <v>4629</v>
      </c>
      <c r="G492">
        <v>385</v>
      </c>
      <c r="H492" s="10">
        <v>430.84</v>
      </c>
      <c r="I492">
        <v>-2.7E-2</v>
      </c>
      <c r="J492">
        <v>3</v>
      </c>
    </row>
    <row r="493" spans="1:10" ht="15" customHeight="1" x14ac:dyDescent="0.25">
      <c r="A493" t="s">
        <v>718</v>
      </c>
      <c r="B493" t="s">
        <v>216</v>
      </c>
      <c r="C493" s="9">
        <v>46012</v>
      </c>
      <c r="D493" s="9">
        <v>46020</v>
      </c>
      <c r="E493">
        <v>0</v>
      </c>
      <c r="F493">
        <v>4682</v>
      </c>
      <c r="G493">
        <v>307</v>
      </c>
      <c r="H493" s="10">
        <v>570.91999999999996</v>
      </c>
      <c r="I493">
        <v>4.0000000000000001E-3</v>
      </c>
      <c r="J493">
        <v>5</v>
      </c>
    </row>
    <row r="494" spans="1:10" ht="15" customHeight="1" x14ac:dyDescent="0.25">
      <c r="A494" t="s">
        <v>719</v>
      </c>
      <c r="B494" t="s">
        <v>207</v>
      </c>
      <c r="C494" s="9">
        <v>45998</v>
      </c>
      <c r="D494" s="9">
        <v>46005</v>
      </c>
      <c r="E494">
        <v>0</v>
      </c>
      <c r="F494">
        <v>1389</v>
      </c>
      <c r="G494">
        <v>86</v>
      </c>
      <c r="H494" s="10">
        <v>864.56</v>
      </c>
      <c r="I494">
        <v>8.0000000000000002E-3</v>
      </c>
      <c r="J494">
        <v>2</v>
      </c>
    </row>
    <row r="495" spans="1:10" ht="15" customHeight="1" x14ac:dyDescent="0.25">
      <c r="A495" t="s">
        <v>720</v>
      </c>
      <c r="B495" t="s">
        <v>197</v>
      </c>
      <c r="C495" s="9">
        <v>45985</v>
      </c>
      <c r="D495" s="9">
        <v>46001</v>
      </c>
      <c r="E495">
        <v>0</v>
      </c>
      <c r="F495">
        <v>4698</v>
      </c>
      <c r="G495">
        <v>247</v>
      </c>
      <c r="H495" s="10">
        <v>153.35</v>
      </c>
      <c r="I495">
        <v>3.1E-2</v>
      </c>
      <c r="J495">
        <v>1</v>
      </c>
    </row>
    <row r="496" spans="1:10" ht="15" customHeight="1" x14ac:dyDescent="0.25">
      <c r="A496" t="s">
        <v>721</v>
      </c>
      <c r="B496" t="s">
        <v>143</v>
      </c>
      <c r="C496" s="9">
        <v>46046</v>
      </c>
      <c r="D496" s="9">
        <v>46058</v>
      </c>
      <c r="E496">
        <v>0</v>
      </c>
      <c r="F496">
        <v>501</v>
      </c>
      <c r="G496">
        <v>45</v>
      </c>
      <c r="H496" s="10">
        <v>38.119999999999997</v>
      </c>
      <c r="I496">
        <v>-1.6E-2</v>
      </c>
      <c r="J496">
        <v>3</v>
      </c>
    </row>
    <row r="497" spans="1:10" ht="15" customHeight="1" x14ac:dyDescent="0.25">
      <c r="A497" t="s">
        <v>722</v>
      </c>
      <c r="B497" t="s">
        <v>181</v>
      </c>
      <c r="C497" s="9">
        <v>46032</v>
      </c>
      <c r="D497" s="9">
        <v>46040</v>
      </c>
      <c r="E497">
        <v>0</v>
      </c>
      <c r="F497">
        <v>3657</v>
      </c>
      <c r="G497">
        <v>193</v>
      </c>
      <c r="H497" s="10">
        <v>398.52</v>
      </c>
      <c r="I497">
        <v>5.8999999999999997E-2</v>
      </c>
      <c r="J497">
        <v>3</v>
      </c>
    </row>
    <row r="498" spans="1:10" ht="15" customHeight="1" x14ac:dyDescent="0.25">
      <c r="A498" t="s">
        <v>723</v>
      </c>
      <c r="B498" t="s">
        <v>164</v>
      </c>
      <c r="C498" s="9">
        <v>45838</v>
      </c>
      <c r="D498" s="9">
        <v>45858</v>
      </c>
      <c r="E498">
        <v>0</v>
      </c>
      <c r="F498">
        <v>1954</v>
      </c>
      <c r="G498">
        <v>59</v>
      </c>
      <c r="H498" s="10">
        <v>808.68</v>
      </c>
      <c r="I498">
        <v>2.5999999999999999E-2</v>
      </c>
      <c r="J498">
        <v>3</v>
      </c>
    </row>
    <row r="499" spans="1:10" ht="15" customHeight="1" x14ac:dyDescent="0.25">
      <c r="A499" t="s">
        <v>724</v>
      </c>
      <c r="B499" t="s">
        <v>128</v>
      </c>
      <c r="C499" s="9">
        <v>46006</v>
      </c>
      <c r="D499" s="9">
        <v>46023</v>
      </c>
      <c r="E499">
        <v>0</v>
      </c>
      <c r="F499">
        <v>1352</v>
      </c>
      <c r="G499">
        <v>80</v>
      </c>
      <c r="H499" s="10">
        <v>554.22</v>
      </c>
      <c r="I499">
        <v>-2E-3</v>
      </c>
      <c r="J499">
        <v>5</v>
      </c>
    </row>
    <row r="500" spans="1:10" ht="15" customHeight="1" x14ac:dyDescent="0.25">
      <c r="A500" t="s">
        <v>725</v>
      </c>
      <c r="B500" t="s">
        <v>203</v>
      </c>
      <c r="C500" s="9">
        <v>45947</v>
      </c>
      <c r="D500" s="9">
        <v>45955</v>
      </c>
      <c r="E500">
        <v>0</v>
      </c>
      <c r="F500">
        <v>1845</v>
      </c>
      <c r="G500">
        <v>22</v>
      </c>
      <c r="H500" s="10">
        <v>147.18</v>
      </c>
      <c r="I500">
        <v>4.7E-2</v>
      </c>
      <c r="J500">
        <v>1</v>
      </c>
    </row>
    <row r="501" spans="1:10" ht="15" customHeight="1" x14ac:dyDescent="0.25">
      <c r="A501" t="s">
        <v>726</v>
      </c>
      <c r="B501" t="s">
        <v>197</v>
      </c>
      <c r="C501" s="9">
        <v>46015</v>
      </c>
      <c r="D501" s="9">
        <v>46026</v>
      </c>
      <c r="E501">
        <v>0</v>
      </c>
      <c r="F501">
        <v>2951</v>
      </c>
      <c r="G501">
        <v>125</v>
      </c>
      <c r="H501" s="10">
        <v>205.61</v>
      </c>
      <c r="I501">
        <v>5.6000000000000001E-2</v>
      </c>
      <c r="J501">
        <v>3</v>
      </c>
    </row>
    <row r="502" spans="1:10" ht="15" customHeight="1" x14ac:dyDescent="0.25">
      <c r="A502" t="s">
        <v>727</v>
      </c>
      <c r="B502" t="s">
        <v>207</v>
      </c>
      <c r="C502" s="9">
        <v>45907</v>
      </c>
      <c r="D502" s="9">
        <v>45915</v>
      </c>
      <c r="E502">
        <v>0</v>
      </c>
      <c r="F502">
        <v>1464</v>
      </c>
      <c r="G502">
        <v>74</v>
      </c>
      <c r="H502" s="10">
        <v>767.77</v>
      </c>
      <c r="I502">
        <v>2.3E-2</v>
      </c>
      <c r="J502">
        <v>4</v>
      </c>
    </row>
    <row r="503" spans="1:10" ht="15" customHeight="1" x14ac:dyDescent="0.25">
      <c r="A503" t="s">
        <v>728</v>
      </c>
      <c r="B503" t="s">
        <v>186</v>
      </c>
      <c r="C503" s="9">
        <v>45777</v>
      </c>
      <c r="D503" s="9">
        <v>45796</v>
      </c>
      <c r="E503">
        <v>0</v>
      </c>
      <c r="F503">
        <v>3701</v>
      </c>
      <c r="G503">
        <v>465</v>
      </c>
      <c r="H503" s="10">
        <v>474.41</v>
      </c>
      <c r="I503">
        <v>7.0999999999999994E-2</v>
      </c>
      <c r="J503">
        <v>5</v>
      </c>
    </row>
    <row r="504" spans="1:10" ht="15" customHeight="1" x14ac:dyDescent="0.25">
      <c r="A504" t="s">
        <v>729</v>
      </c>
      <c r="B504" t="s">
        <v>140</v>
      </c>
      <c r="C504" s="9">
        <v>46056</v>
      </c>
      <c r="D504" s="9">
        <v>46074</v>
      </c>
      <c r="E504">
        <v>0</v>
      </c>
      <c r="F504">
        <v>3640</v>
      </c>
      <c r="G504">
        <v>0</v>
      </c>
      <c r="H504" s="10">
        <v>819.39</v>
      </c>
      <c r="I504">
        <v>3.0000000000000001E-3</v>
      </c>
      <c r="J504">
        <v>1</v>
      </c>
    </row>
    <row r="505" spans="1:10" ht="15" customHeight="1" x14ac:dyDescent="0.25">
      <c r="A505" t="s">
        <v>730</v>
      </c>
      <c r="B505" t="s">
        <v>179</v>
      </c>
      <c r="C505" s="9">
        <v>45795</v>
      </c>
      <c r="D505" s="9">
        <v>45806</v>
      </c>
      <c r="E505">
        <v>0</v>
      </c>
      <c r="F505">
        <v>2814</v>
      </c>
      <c r="G505">
        <v>217</v>
      </c>
      <c r="H505" s="10">
        <v>71.59</v>
      </c>
      <c r="I505">
        <v>-1.2999999999999999E-2</v>
      </c>
      <c r="J505">
        <v>3</v>
      </c>
    </row>
    <row r="506" spans="1:10" ht="15" customHeight="1" x14ac:dyDescent="0.25">
      <c r="A506" t="s">
        <v>731</v>
      </c>
      <c r="B506" t="s">
        <v>214</v>
      </c>
      <c r="C506" s="9">
        <v>46032</v>
      </c>
      <c r="D506" s="9">
        <v>46040</v>
      </c>
      <c r="E506">
        <v>0</v>
      </c>
      <c r="F506">
        <v>4975</v>
      </c>
      <c r="G506">
        <v>185</v>
      </c>
      <c r="H506" s="10">
        <v>527.37</v>
      </c>
      <c r="I506">
        <v>-8.9999999999999993E-3</v>
      </c>
      <c r="J506">
        <v>5</v>
      </c>
    </row>
    <row r="507" spans="1:10" ht="15" customHeight="1" x14ac:dyDescent="0.25">
      <c r="A507" t="s">
        <v>732</v>
      </c>
      <c r="B507" t="s">
        <v>212</v>
      </c>
      <c r="C507" s="9">
        <v>45925</v>
      </c>
      <c r="D507" s="9">
        <v>45934</v>
      </c>
      <c r="E507">
        <v>0</v>
      </c>
      <c r="F507">
        <v>4485</v>
      </c>
      <c r="G507">
        <v>251</v>
      </c>
      <c r="H507" s="10">
        <v>835.8</v>
      </c>
      <c r="I507">
        <v>-8.9999999999999993E-3</v>
      </c>
      <c r="J507">
        <v>3</v>
      </c>
    </row>
    <row r="508" spans="1:10" ht="15" customHeight="1" x14ac:dyDescent="0.25">
      <c r="A508" t="s">
        <v>733</v>
      </c>
      <c r="B508" t="s">
        <v>189</v>
      </c>
      <c r="C508" s="9">
        <v>45758</v>
      </c>
      <c r="D508" s="9">
        <v>45766</v>
      </c>
      <c r="E508">
        <v>0</v>
      </c>
      <c r="F508">
        <v>1412</v>
      </c>
      <c r="G508">
        <v>43</v>
      </c>
      <c r="H508" s="10">
        <v>294.49</v>
      </c>
      <c r="I508">
        <v>6.3E-2</v>
      </c>
      <c r="J508">
        <v>2</v>
      </c>
    </row>
    <row r="509" spans="1:10" ht="15" customHeight="1" x14ac:dyDescent="0.25">
      <c r="A509" t="s">
        <v>734</v>
      </c>
      <c r="B509" t="s">
        <v>171</v>
      </c>
      <c r="C509" s="9">
        <v>45764</v>
      </c>
      <c r="D509" s="9">
        <v>45774</v>
      </c>
      <c r="E509">
        <v>0</v>
      </c>
      <c r="F509">
        <v>3130</v>
      </c>
      <c r="G509">
        <v>248</v>
      </c>
      <c r="H509" s="10">
        <v>104.4</v>
      </c>
      <c r="I509">
        <v>7.6999999999999999E-2</v>
      </c>
      <c r="J509">
        <v>3</v>
      </c>
    </row>
    <row r="510" spans="1:10" ht="15" customHeight="1" x14ac:dyDescent="0.25">
      <c r="A510" t="s">
        <v>735</v>
      </c>
      <c r="B510" t="s">
        <v>164</v>
      </c>
      <c r="C510" s="9">
        <v>45943</v>
      </c>
      <c r="D510" s="9">
        <v>45952</v>
      </c>
      <c r="E510">
        <v>0</v>
      </c>
      <c r="F510">
        <v>307</v>
      </c>
      <c r="G510">
        <v>11</v>
      </c>
      <c r="H510" s="10">
        <v>664.4</v>
      </c>
      <c r="I510">
        <v>7.1999999999999995E-2</v>
      </c>
      <c r="J510">
        <v>3</v>
      </c>
    </row>
    <row r="511" spans="1:10" ht="15" customHeight="1" x14ac:dyDescent="0.25">
      <c r="A511" t="s">
        <v>736</v>
      </c>
      <c r="B511" t="s">
        <v>197</v>
      </c>
      <c r="C511" s="9">
        <v>45969</v>
      </c>
      <c r="D511" s="9">
        <v>45975</v>
      </c>
      <c r="E511">
        <v>0</v>
      </c>
      <c r="F511">
        <v>676</v>
      </c>
      <c r="G511">
        <v>34</v>
      </c>
      <c r="H511" s="10">
        <v>821.05</v>
      </c>
      <c r="I511">
        <v>1.4999999999999999E-2</v>
      </c>
      <c r="J511">
        <v>4</v>
      </c>
    </row>
    <row r="512" spans="1:10" ht="15" customHeight="1" x14ac:dyDescent="0.25">
      <c r="A512" t="s">
        <v>737</v>
      </c>
      <c r="B512" t="s">
        <v>169</v>
      </c>
      <c r="C512" s="9">
        <v>46084</v>
      </c>
      <c r="D512" s="9">
        <v>46100</v>
      </c>
      <c r="E512">
        <v>0</v>
      </c>
      <c r="F512">
        <v>3478</v>
      </c>
      <c r="G512">
        <v>253</v>
      </c>
      <c r="H512" s="10">
        <v>754.94</v>
      </c>
      <c r="I512">
        <v>0.01</v>
      </c>
      <c r="J512">
        <v>5</v>
      </c>
    </row>
    <row r="513" spans="1:10" ht="15" customHeight="1" x14ac:dyDescent="0.25">
      <c r="A513" t="s">
        <v>738</v>
      </c>
      <c r="B513" t="s">
        <v>203</v>
      </c>
      <c r="C513" s="9">
        <v>45920</v>
      </c>
      <c r="D513" s="9">
        <v>45926</v>
      </c>
      <c r="E513">
        <v>0</v>
      </c>
      <c r="F513">
        <v>2390</v>
      </c>
      <c r="G513">
        <v>42</v>
      </c>
      <c r="H513" s="10">
        <v>166.83</v>
      </c>
      <c r="I513">
        <v>-3.5000000000000003E-2</v>
      </c>
      <c r="J513">
        <v>5</v>
      </c>
    </row>
    <row r="514" spans="1:10" ht="15" customHeight="1" x14ac:dyDescent="0.25">
      <c r="A514" t="s">
        <v>739</v>
      </c>
      <c r="B514" t="s">
        <v>205</v>
      </c>
      <c r="C514" s="9">
        <v>46000</v>
      </c>
      <c r="D514" s="9">
        <v>46018</v>
      </c>
      <c r="E514">
        <v>0</v>
      </c>
      <c r="F514">
        <v>2452</v>
      </c>
      <c r="G514">
        <v>80</v>
      </c>
      <c r="H514" s="10">
        <v>412.94</v>
      </c>
      <c r="I514">
        <v>-8.9999999999999993E-3</v>
      </c>
      <c r="J514">
        <v>1</v>
      </c>
    </row>
    <row r="515" spans="1:10" ht="15" customHeight="1" x14ac:dyDescent="0.25">
      <c r="A515" t="s">
        <v>740</v>
      </c>
      <c r="B515" t="s">
        <v>116</v>
      </c>
      <c r="C515" s="9">
        <v>45811</v>
      </c>
      <c r="D515" s="9">
        <v>45824</v>
      </c>
      <c r="E515">
        <v>0</v>
      </c>
      <c r="F515">
        <v>3510</v>
      </c>
      <c r="G515">
        <v>89</v>
      </c>
      <c r="H515" s="10">
        <v>389.53</v>
      </c>
      <c r="I515">
        <v>-1.4E-2</v>
      </c>
      <c r="J515">
        <v>5</v>
      </c>
    </row>
    <row r="516" spans="1:10" ht="15" customHeight="1" x14ac:dyDescent="0.25">
      <c r="A516" t="s">
        <v>741</v>
      </c>
      <c r="B516" t="s">
        <v>147</v>
      </c>
      <c r="C516" s="9">
        <v>45952</v>
      </c>
      <c r="D516" s="9">
        <v>45972</v>
      </c>
      <c r="E516">
        <v>0</v>
      </c>
      <c r="F516">
        <v>2000</v>
      </c>
      <c r="G516">
        <v>207</v>
      </c>
      <c r="H516" s="10">
        <v>271.85000000000002</v>
      </c>
      <c r="I516">
        <v>1.9E-2</v>
      </c>
      <c r="J516">
        <v>2</v>
      </c>
    </row>
    <row r="517" spans="1:10" ht="15" customHeight="1" x14ac:dyDescent="0.25">
      <c r="A517" t="s">
        <v>742</v>
      </c>
      <c r="B517" t="s">
        <v>143</v>
      </c>
      <c r="C517" s="9">
        <v>45756</v>
      </c>
      <c r="D517" s="9">
        <v>45774</v>
      </c>
      <c r="E517">
        <v>0</v>
      </c>
      <c r="F517">
        <v>703</v>
      </c>
      <c r="G517">
        <v>52</v>
      </c>
      <c r="H517" s="10">
        <v>628.6</v>
      </c>
      <c r="I517">
        <v>2.5999999999999999E-2</v>
      </c>
      <c r="J517">
        <v>4</v>
      </c>
    </row>
    <row r="518" spans="1:10" ht="15" customHeight="1" x14ac:dyDescent="0.25">
      <c r="A518" t="s">
        <v>743</v>
      </c>
      <c r="B518" t="s">
        <v>116</v>
      </c>
      <c r="C518" s="9">
        <v>45931</v>
      </c>
      <c r="D518" s="9">
        <v>45944</v>
      </c>
      <c r="E518">
        <v>0</v>
      </c>
      <c r="F518">
        <v>1214</v>
      </c>
      <c r="G518">
        <v>22</v>
      </c>
      <c r="H518" s="10">
        <v>817.43</v>
      </c>
      <c r="I518">
        <v>4.0000000000000001E-3</v>
      </c>
      <c r="J518">
        <v>1</v>
      </c>
    </row>
    <row r="519" spans="1:10" ht="15" customHeight="1" x14ac:dyDescent="0.25">
      <c r="A519" t="s">
        <v>744</v>
      </c>
      <c r="B519" t="s">
        <v>133</v>
      </c>
      <c r="C519" s="9">
        <v>45779</v>
      </c>
      <c r="D519" s="9">
        <v>45786</v>
      </c>
      <c r="E519">
        <v>0</v>
      </c>
      <c r="F519">
        <v>541</v>
      </c>
      <c r="G519">
        <v>22</v>
      </c>
      <c r="H519" s="10">
        <v>798.31</v>
      </c>
      <c r="I519">
        <v>-1.7000000000000001E-2</v>
      </c>
      <c r="J519">
        <v>4</v>
      </c>
    </row>
    <row r="520" spans="1:10" ht="15" customHeight="1" x14ac:dyDescent="0.25">
      <c r="A520" t="s">
        <v>745</v>
      </c>
      <c r="B520" t="s">
        <v>150</v>
      </c>
      <c r="C520" s="9">
        <v>45842</v>
      </c>
      <c r="D520" s="9">
        <v>45861</v>
      </c>
      <c r="E520">
        <v>0</v>
      </c>
      <c r="F520">
        <v>4263</v>
      </c>
      <c r="G520">
        <v>91</v>
      </c>
      <c r="H520" s="10">
        <v>359.52</v>
      </c>
      <c r="I520">
        <v>-8.9999999999999993E-3</v>
      </c>
      <c r="J520">
        <v>3</v>
      </c>
    </row>
    <row r="521" spans="1:10" ht="15" customHeight="1" x14ac:dyDescent="0.25">
      <c r="A521" t="s">
        <v>746</v>
      </c>
      <c r="B521" t="s">
        <v>128</v>
      </c>
      <c r="C521" s="9">
        <v>45837</v>
      </c>
      <c r="D521" s="9">
        <v>45843</v>
      </c>
      <c r="E521">
        <v>3</v>
      </c>
      <c r="F521">
        <v>1609</v>
      </c>
      <c r="G521">
        <v>119</v>
      </c>
      <c r="H521" s="10">
        <v>707.96</v>
      </c>
      <c r="I521">
        <v>8.0000000000000002E-3</v>
      </c>
      <c r="J521">
        <v>2</v>
      </c>
    </row>
    <row r="522" spans="1:10" ht="15" customHeight="1" x14ac:dyDescent="0.25">
      <c r="A522" t="s">
        <v>747</v>
      </c>
      <c r="B522" t="s">
        <v>164</v>
      </c>
      <c r="C522" s="9">
        <v>45768</v>
      </c>
      <c r="D522" s="9">
        <v>45780</v>
      </c>
      <c r="E522">
        <v>0</v>
      </c>
      <c r="F522">
        <v>990</v>
      </c>
      <c r="G522">
        <v>36</v>
      </c>
      <c r="H522" s="10">
        <v>848.71</v>
      </c>
      <c r="I522">
        <v>3.4000000000000002E-2</v>
      </c>
      <c r="J522">
        <v>2</v>
      </c>
    </row>
    <row r="523" spans="1:10" ht="15" customHeight="1" x14ac:dyDescent="0.25">
      <c r="A523" t="s">
        <v>748</v>
      </c>
      <c r="B523" t="s">
        <v>195</v>
      </c>
      <c r="C523" s="9">
        <v>45946</v>
      </c>
      <c r="D523" s="9">
        <v>45960</v>
      </c>
      <c r="E523">
        <v>0</v>
      </c>
      <c r="F523">
        <v>3733</v>
      </c>
      <c r="G523">
        <v>289</v>
      </c>
      <c r="H523" s="10">
        <v>716.43</v>
      </c>
      <c r="I523">
        <v>5.7000000000000002E-2</v>
      </c>
      <c r="J523">
        <v>4</v>
      </c>
    </row>
    <row r="524" spans="1:10" ht="15" customHeight="1" x14ac:dyDescent="0.25">
      <c r="A524" t="s">
        <v>749</v>
      </c>
      <c r="B524" t="s">
        <v>210</v>
      </c>
      <c r="C524" s="9">
        <v>45879</v>
      </c>
      <c r="D524" s="9">
        <v>45898</v>
      </c>
      <c r="E524">
        <v>0</v>
      </c>
      <c r="F524">
        <v>2480</v>
      </c>
      <c r="G524">
        <v>192</v>
      </c>
      <c r="H524" s="10">
        <v>464.48</v>
      </c>
      <c r="I524">
        <v>3.7999999999999999E-2</v>
      </c>
      <c r="J524">
        <v>3</v>
      </c>
    </row>
    <row r="525" spans="1:10" ht="15" customHeight="1" x14ac:dyDescent="0.25">
      <c r="A525" t="s">
        <v>750</v>
      </c>
      <c r="B525" t="s">
        <v>147</v>
      </c>
      <c r="C525" s="9">
        <v>45965</v>
      </c>
      <c r="D525" s="9">
        <v>45983</v>
      </c>
      <c r="E525">
        <v>0</v>
      </c>
      <c r="F525">
        <v>2982</v>
      </c>
      <c r="G525">
        <v>198</v>
      </c>
      <c r="H525" s="10">
        <v>850.55</v>
      </c>
      <c r="I525">
        <v>5.2999999999999999E-2</v>
      </c>
      <c r="J525">
        <v>1</v>
      </c>
    </row>
    <row r="526" spans="1:10" ht="15" customHeight="1" x14ac:dyDescent="0.25">
      <c r="A526" t="s">
        <v>751</v>
      </c>
      <c r="B526" t="s">
        <v>175</v>
      </c>
      <c r="C526" s="9">
        <v>45884</v>
      </c>
      <c r="D526" s="9">
        <v>45895</v>
      </c>
      <c r="E526">
        <v>0</v>
      </c>
      <c r="F526">
        <v>269</v>
      </c>
      <c r="G526">
        <v>19</v>
      </c>
      <c r="H526" s="10">
        <v>195.89</v>
      </c>
      <c r="I526">
        <v>-3.3000000000000002E-2</v>
      </c>
      <c r="J526">
        <v>5</v>
      </c>
    </row>
    <row r="527" spans="1:10" ht="15" customHeight="1" x14ac:dyDescent="0.25">
      <c r="A527" t="s">
        <v>752</v>
      </c>
      <c r="B527" t="s">
        <v>195</v>
      </c>
      <c r="C527" s="9">
        <v>45995</v>
      </c>
      <c r="D527" s="9">
        <v>46010</v>
      </c>
      <c r="E527">
        <v>0</v>
      </c>
      <c r="F527">
        <v>2040</v>
      </c>
      <c r="G527">
        <v>141</v>
      </c>
      <c r="H527" s="10">
        <v>283.42</v>
      </c>
      <c r="I527">
        <v>-0.01</v>
      </c>
      <c r="J527">
        <v>5</v>
      </c>
    </row>
    <row r="528" spans="1:10" ht="15" customHeight="1" x14ac:dyDescent="0.25">
      <c r="A528" t="s">
        <v>753</v>
      </c>
      <c r="B528" t="s">
        <v>193</v>
      </c>
      <c r="C528" s="9">
        <v>45809</v>
      </c>
      <c r="D528" s="9">
        <v>45821</v>
      </c>
      <c r="E528">
        <v>3</v>
      </c>
      <c r="F528">
        <v>854</v>
      </c>
      <c r="G528">
        <v>73</v>
      </c>
      <c r="H528" s="10">
        <v>800</v>
      </c>
      <c r="I528">
        <v>-0.03</v>
      </c>
      <c r="J528">
        <v>3</v>
      </c>
    </row>
    <row r="529" spans="1:10" ht="15" customHeight="1" x14ac:dyDescent="0.25">
      <c r="A529" t="s">
        <v>754</v>
      </c>
      <c r="B529" t="s">
        <v>140</v>
      </c>
      <c r="C529" s="9">
        <v>46072</v>
      </c>
      <c r="D529" s="9">
        <v>46091</v>
      </c>
      <c r="E529">
        <v>0</v>
      </c>
      <c r="F529">
        <v>1940</v>
      </c>
      <c r="G529">
        <v>18</v>
      </c>
      <c r="H529" s="10">
        <v>715.83</v>
      </c>
      <c r="I529">
        <v>-0.02</v>
      </c>
      <c r="J529">
        <v>1</v>
      </c>
    </row>
    <row r="530" spans="1:10" ht="15" customHeight="1" x14ac:dyDescent="0.25">
      <c r="A530" t="s">
        <v>755</v>
      </c>
      <c r="B530" t="s">
        <v>207</v>
      </c>
      <c r="C530" s="9">
        <v>45915</v>
      </c>
      <c r="D530" s="9">
        <v>45921</v>
      </c>
      <c r="E530">
        <v>1</v>
      </c>
      <c r="F530">
        <v>3536</v>
      </c>
      <c r="G530">
        <v>180</v>
      </c>
      <c r="H530" s="10">
        <v>889.72</v>
      </c>
      <c r="I530">
        <v>-1.0999999999999999E-2</v>
      </c>
      <c r="J530">
        <v>4</v>
      </c>
    </row>
    <row r="531" spans="1:10" ht="15" customHeight="1" x14ac:dyDescent="0.25">
      <c r="A531" t="s">
        <v>756</v>
      </c>
      <c r="B531" t="s">
        <v>181</v>
      </c>
      <c r="C531" s="9">
        <v>45979</v>
      </c>
      <c r="D531" s="9">
        <v>45996</v>
      </c>
      <c r="E531">
        <v>0</v>
      </c>
      <c r="F531">
        <v>3510</v>
      </c>
      <c r="G531">
        <v>213</v>
      </c>
      <c r="H531" s="10">
        <v>859.1</v>
      </c>
      <c r="I531">
        <v>2.3E-2</v>
      </c>
      <c r="J531">
        <v>3</v>
      </c>
    </row>
    <row r="532" spans="1:10" ht="15" customHeight="1" x14ac:dyDescent="0.25">
      <c r="A532" t="s">
        <v>757</v>
      </c>
      <c r="B532" t="s">
        <v>137</v>
      </c>
      <c r="C532" s="9">
        <v>46061</v>
      </c>
      <c r="D532" s="9">
        <v>46079</v>
      </c>
      <c r="E532">
        <v>0</v>
      </c>
      <c r="F532">
        <v>2362</v>
      </c>
      <c r="G532">
        <v>125</v>
      </c>
      <c r="H532" s="10">
        <v>710</v>
      </c>
      <c r="I532">
        <v>-8.0000000000000002E-3</v>
      </c>
      <c r="J532">
        <v>5</v>
      </c>
    </row>
    <row r="533" spans="1:10" ht="15" customHeight="1" x14ac:dyDescent="0.25">
      <c r="A533" t="s">
        <v>758</v>
      </c>
      <c r="B533" t="s">
        <v>167</v>
      </c>
      <c r="C533" s="9">
        <v>45873</v>
      </c>
      <c r="D533" s="9">
        <v>45893</v>
      </c>
      <c r="E533">
        <v>0</v>
      </c>
      <c r="F533">
        <v>4601</v>
      </c>
      <c r="G533">
        <v>220</v>
      </c>
      <c r="H533" s="10">
        <v>410.23</v>
      </c>
      <c r="I533">
        <v>6.0000000000000001E-3</v>
      </c>
      <c r="J533">
        <v>5</v>
      </c>
    </row>
    <row r="534" spans="1:10" ht="15" customHeight="1" x14ac:dyDescent="0.25">
      <c r="A534" t="s">
        <v>759</v>
      </c>
      <c r="B534" t="s">
        <v>167</v>
      </c>
      <c r="C534" s="9">
        <v>45852</v>
      </c>
      <c r="D534" s="9">
        <v>45862</v>
      </c>
      <c r="E534">
        <v>0</v>
      </c>
      <c r="F534">
        <v>1512</v>
      </c>
      <c r="G534">
        <v>55</v>
      </c>
      <c r="H534" s="10">
        <v>251.21</v>
      </c>
      <c r="I534">
        <v>3.7999999999999999E-2</v>
      </c>
      <c r="J534">
        <v>5</v>
      </c>
    </row>
    <row r="535" spans="1:10" ht="15" customHeight="1" x14ac:dyDescent="0.25">
      <c r="A535" t="s">
        <v>760</v>
      </c>
      <c r="B535" t="s">
        <v>201</v>
      </c>
      <c r="C535" s="9">
        <v>45762</v>
      </c>
      <c r="D535" s="9">
        <v>45770</v>
      </c>
      <c r="E535">
        <v>0</v>
      </c>
      <c r="F535">
        <v>682</v>
      </c>
      <c r="G535">
        <v>62</v>
      </c>
      <c r="H535" s="10">
        <v>294.19</v>
      </c>
      <c r="I535">
        <v>-3.6999999999999998E-2</v>
      </c>
      <c r="J535">
        <v>3</v>
      </c>
    </row>
    <row r="536" spans="1:10" ht="15" customHeight="1" x14ac:dyDescent="0.25">
      <c r="A536" t="s">
        <v>761</v>
      </c>
      <c r="B536" t="s">
        <v>169</v>
      </c>
      <c r="C536" s="9">
        <v>45993</v>
      </c>
      <c r="D536" s="9">
        <v>46004</v>
      </c>
      <c r="E536">
        <v>0</v>
      </c>
      <c r="F536">
        <v>3779</v>
      </c>
      <c r="G536">
        <v>232</v>
      </c>
      <c r="H536" s="10">
        <v>260.54000000000002</v>
      </c>
      <c r="I536">
        <v>-4.2000000000000003E-2</v>
      </c>
      <c r="J536">
        <v>4</v>
      </c>
    </row>
    <row r="537" spans="1:10" ht="15" customHeight="1" x14ac:dyDescent="0.25">
      <c r="A537" t="s">
        <v>762</v>
      </c>
      <c r="B537" t="s">
        <v>181</v>
      </c>
      <c r="C537" s="9">
        <v>45844</v>
      </c>
      <c r="D537" s="9">
        <v>45852</v>
      </c>
      <c r="E537">
        <v>0</v>
      </c>
      <c r="F537">
        <v>2111</v>
      </c>
      <c r="G537">
        <v>145</v>
      </c>
      <c r="H537" s="10">
        <v>204.11</v>
      </c>
      <c r="I537">
        <v>-4.2999999999999997E-2</v>
      </c>
      <c r="J537">
        <v>1</v>
      </c>
    </row>
    <row r="538" spans="1:10" ht="15" customHeight="1" x14ac:dyDescent="0.25">
      <c r="A538" t="s">
        <v>763</v>
      </c>
      <c r="B538" t="s">
        <v>152</v>
      </c>
      <c r="C538" s="9">
        <v>45864</v>
      </c>
      <c r="D538" s="9">
        <v>45872</v>
      </c>
      <c r="E538">
        <v>0</v>
      </c>
      <c r="F538">
        <v>3904</v>
      </c>
      <c r="G538">
        <v>224</v>
      </c>
      <c r="H538" s="10">
        <v>837.46</v>
      </c>
      <c r="I538">
        <v>5.1999999999999998E-2</v>
      </c>
      <c r="J538">
        <v>1</v>
      </c>
    </row>
    <row r="539" spans="1:10" ht="15" customHeight="1" x14ac:dyDescent="0.25">
      <c r="A539" t="s">
        <v>764</v>
      </c>
      <c r="B539" t="s">
        <v>200</v>
      </c>
      <c r="C539" s="9">
        <v>45764</v>
      </c>
      <c r="D539" s="9">
        <v>45781</v>
      </c>
      <c r="E539">
        <v>0</v>
      </c>
      <c r="F539">
        <v>1177</v>
      </c>
      <c r="G539">
        <v>63</v>
      </c>
      <c r="H539" s="10">
        <v>522.98</v>
      </c>
      <c r="I539">
        <v>-3.9E-2</v>
      </c>
      <c r="J539">
        <v>1</v>
      </c>
    </row>
    <row r="540" spans="1:10" ht="15" customHeight="1" x14ac:dyDescent="0.25">
      <c r="A540" t="s">
        <v>765</v>
      </c>
      <c r="B540" t="s">
        <v>143</v>
      </c>
      <c r="C540" s="9">
        <v>45761</v>
      </c>
      <c r="D540" s="9">
        <v>45771</v>
      </c>
      <c r="E540">
        <v>0</v>
      </c>
      <c r="F540">
        <v>796</v>
      </c>
      <c r="G540">
        <v>72</v>
      </c>
      <c r="H540" s="10">
        <v>374.9</v>
      </c>
      <c r="I540">
        <v>5.2999999999999999E-2</v>
      </c>
      <c r="J540">
        <v>2</v>
      </c>
    </row>
    <row r="541" spans="1:10" ht="15" customHeight="1" x14ac:dyDescent="0.25">
      <c r="A541" t="s">
        <v>766</v>
      </c>
      <c r="B541" t="s">
        <v>130</v>
      </c>
      <c r="C541" s="9">
        <v>46017</v>
      </c>
      <c r="D541" s="9">
        <v>46028</v>
      </c>
      <c r="E541">
        <v>0</v>
      </c>
      <c r="F541">
        <v>2601</v>
      </c>
      <c r="G541">
        <v>159</v>
      </c>
      <c r="H541" s="10">
        <v>348.47</v>
      </c>
      <c r="I541">
        <v>-4.1000000000000002E-2</v>
      </c>
      <c r="J541">
        <v>3</v>
      </c>
    </row>
    <row r="542" spans="1:10" ht="15" customHeight="1" x14ac:dyDescent="0.25">
      <c r="A542" t="s">
        <v>767</v>
      </c>
      <c r="B542" t="s">
        <v>214</v>
      </c>
      <c r="C542" s="9">
        <v>46034</v>
      </c>
      <c r="D542" s="9">
        <v>46054</v>
      </c>
      <c r="E542">
        <v>0</v>
      </c>
      <c r="F542">
        <v>1222</v>
      </c>
      <c r="G542">
        <v>34</v>
      </c>
      <c r="H542" s="10">
        <v>189.6</v>
      </c>
      <c r="I542">
        <v>0.01</v>
      </c>
      <c r="J542">
        <v>1</v>
      </c>
    </row>
    <row r="543" spans="1:10" ht="15" customHeight="1" x14ac:dyDescent="0.25">
      <c r="A543" t="s">
        <v>768</v>
      </c>
      <c r="B543" t="s">
        <v>212</v>
      </c>
      <c r="C543" s="9">
        <v>45970</v>
      </c>
      <c r="D543" s="9">
        <v>45984</v>
      </c>
      <c r="E543">
        <v>0</v>
      </c>
      <c r="F543">
        <v>1729</v>
      </c>
      <c r="G543">
        <v>59</v>
      </c>
      <c r="H543" s="10">
        <v>745.44</v>
      </c>
      <c r="I543">
        <v>-1.9E-2</v>
      </c>
      <c r="J543">
        <v>4</v>
      </c>
    </row>
    <row r="544" spans="1:10" ht="15" customHeight="1" x14ac:dyDescent="0.25">
      <c r="A544" t="s">
        <v>769</v>
      </c>
      <c r="B544" t="s">
        <v>216</v>
      </c>
      <c r="C544" s="9">
        <v>45749</v>
      </c>
      <c r="D544" s="9">
        <v>45764</v>
      </c>
      <c r="E544">
        <v>0</v>
      </c>
      <c r="F544">
        <v>2895</v>
      </c>
      <c r="G544">
        <v>160</v>
      </c>
      <c r="H544" s="10">
        <v>540.21</v>
      </c>
      <c r="I544">
        <v>-4.0000000000000001E-3</v>
      </c>
      <c r="J544">
        <v>1</v>
      </c>
    </row>
    <row r="545" spans="1:10" ht="15" customHeight="1" x14ac:dyDescent="0.25">
      <c r="A545" t="s">
        <v>770</v>
      </c>
      <c r="B545" t="s">
        <v>122</v>
      </c>
      <c r="C545" s="9">
        <v>46069</v>
      </c>
      <c r="D545" s="9">
        <v>46080</v>
      </c>
      <c r="E545">
        <v>0</v>
      </c>
      <c r="F545">
        <v>2825</v>
      </c>
      <c r="G545">
        <v>206</v>
      </c>
      <c r="H545" s="10">
        <v>656.33</v>
      </c>
      <c r="I545">
        <v>4.5999999999999999E-2</v>
      </c>
      <c r="J545">
        <v>2</v>
      </c>
    </row>
    <row r="546" spans="1:10" ht="15" customHeight="1" x14ac:dyDescent="0.25">
      <c r="A546" t="s">
        <v>771</v>
      </c>
      <c r="B546" t="s">
        <v>155</v>
      </c>
      <c r="C546" s="9">
        <v>46041</v>
      </c>
      <c r="D546" s="9">
        <v>46049</v>
      </c>
      <c r="E546">
        <v>0</v>
      </c>
      <c r="F546">
        <v>248</v>
      </c>
      <c r="G546">
        <v>25</v>
      </c>
      <c r="H546" s="10">
        <v>736.87</v>
      </c>
      <c r="I546">
        <v>-1E-3</v>
      </c>
      <c r="J546">
        <v>5</v>
      </c>
    </row>
    <row r="547" spans="1:10" ht="15" customHeight="1" x14ac:dyDescent="0.25">
      <c r="A547" t="s">
        <v>772</v>
      </c>
      <c r="B547" t="s">
        <v>181</v>
      </c>
      <c r="C547" s="9">
        <v>46003</v>
      </c>
      <c r="D547" s="9">
        <v>46008</v>
      </c>
      <c r="E547">
        <v>0</v>
      </c>
      <c r="F547">
        <v>2862</v>
      </c>
      <c r="G547">
        <v>206</v>
      </c>
      <c r="H547" s="10">
        <v>113.98</v>
      </c>
      <c r="I547">
        <v>-1.2999999999999999E-2</v>
      </c>
      <c r="J547">
        <v>2</v>
      </c>
    </row>
    <row r="548" spans="1:10" ht="15" customHeight="1" x14ac:dyDescent="0.25">
      <c r="A548" t="s">
        <v>773</v>
      </c>
      <c r="B548" t="s">
        <v>189</v>
      </c>
      <c r="C548" s="9">
        <v>46030</v>
      </c>
      <c r="D548" s="9">
        <v>46040</v>
      </c>
      <c r="E548">
        <v>0</v>
      </c>
      <c r="F548">
        <v>1357</v>
      </c>
      <c r="G548">
        <v>72</v>
      </c>
      <c r="H548" s="10">
        <v>720.96</v>
      </c>
      <c r="I548">
        <v>-2E-3</v>
      </c>
      <c r="J548">
        <v>2</v>
      </c>
    </row>
    <row r="549" spans="1:10" ht="15" customHeight="1" x14ac:dyDescent="0.25">
      <c r="A549" t="s">
        <v>774</v>
      </c>
      <c r="B549" t="s">
        <v>181</v>
      </c>
      <c r="C549" s="9">
        <v>45796</v>
      </c>
      <c r="D549" s="9">
        <v>45801</v>
      </c>
      <c r="E549">
        <v>0</v>
      </c>
      <c r="F549">
        <v>967</v>
      </c>
      <c r="G549">
        <v>58</v>
      </c>
      <c r="H549" s="10">
        <v>572.19000000000005</v>
      </c>
      <c r="I549">
        <v>0.04</v>
      </c>
      <c r="J549">
        <v>2</v>
      </c>
    </row>
    <row r="550" spans="1:10" ht="15" customHeight="1" x14ac:dyDescent="0.25">
      <c r="A550" t="s">
        <v>775</v>
      </c>
      <c r="B550" t="s">
        <v>137</v>
      </c>
      <c r="C550" s="9">
        <v>46056</v>
      </c>
      <c r="D550" s="9">
        <v>46061</v>
      </c>
      <c r="E550">
        <v>0</v>
      </c>
      <c r="F550">
        <v>3386</v>
      </c>
      <c r="G550">
        <v>201</v>
      </c>
      <c r="H550" s="10">
        <v>712.23</v>
      </c>
      <c r="I550">
        <v>-0.02</v>
      </c>
      <c r="J550">
        <v>1</v>
      </c>
    </row>
    <row r="551" spans="1:10" ht="15" customHeight="1" x14ac:dyDescent="0.25">
      <c r="A551" t="s">
        <v>776</v>
      </c>
      <c r="B551" t="s">
        <v>207</v>
      </c>
      <c r="C551" s="9">
        <v>45844</v>
      </c>
      <c r="D551" s="9">
        <v>45858</v>
      </c>
      <c r="E551">
        <v>0</v>
      </c>
      <c r="F551">
        <v>2194</v>
      </c>
      <c r="G551">
        <v>127</v>
      </c>
      <c r="H551" s="10">
        <v>766.65</v>
      </c>
      <c r="I551">
        <v>-2.9000000000000001E-2</v>
      </c>
      <c r="J551">
        <v>2</v>
      </c>
    </row>
    <row r="552" spans="1:10" ht="15" customHeight="1" x14ac:dyDescent="0.25">
      <c r="A552" t="s">
        <v>777</v>
      </c>
      <c r="B552" t="s">
        <v>210</v>
      </c>
      <c r="C552" s="9">
        <v>45761</v>
      </c>
      <c r="D552" s="9">
        <v>45777</v>
      </c>
      <c r="E552">
        <v>0</v>
      </c>
      <c r="F552">
        <v>932</v>
      </c>
      <c r="G552">
        <v>67</v>
      </c>
      <c r="H552" s="10">
        <v>233.9</v>
      </c>
      <c r="I552">
        <v>7.6999999999999999E-2</v>
      </c>
      <c r="J552">
        <v>3</v>
      </c>
    </row>
    <row r="553" spans="1:10" ht="15" customHeight="1" x14ac:dyDescent="0.25">
      <c r="A553" t="s">
        <v>778</v>
      </c>
      <c r="B553" t="s">
        <v>191</v>
      </c>
      <c r="C553" s="9">
        <v>46067</v>
      </c>
      <c r="D553" s="9">
        <v>46077</v>
      </c>
      <c r="E553">
        <v>0</v>
      </c>
      <c r="F553">
        <v>4355</v>
      </c>
      <c r="G553">
        <v>378</v>
      </c>
      <c r="H553" s="10">
        <v>481.39</v>
      </c>
      <c r="I553">
        <v>-3.3000000000000002E-2</v>
      </c>
      <c r="J553">
        <v>1</v>
      </c>
    </row>
    <row r="554" spans="1:10" ht="15" customHeight="1" x14ac:dyDescent="0.25">
      <c r="A554" t="s">
        <v>779</v>
      </c>
      <c r="B554" t="s">
        <v>212</v>
      </c>
      <c r="C554" s="9">
        <v>46044</v>
      </c>
      <c r="D554" s="9">
        <v>46054</v>
      </c>
      <c r="E554">
        <v>0</v>
      </c>
      <c r="F554">
        <v>2247</v>
      </c>
      <c r="G554">
        <v>110</v>
      </c>
      <c r="H554" s="10">
        <v>790.17</v>
      </c>
      <c r="I554">
        <v>3.9E-2</v>
      </c>
      <c r="J554">
        <v>5</v>
      </c>
    </row>
    <row r="555" spans="1:10" ht="15" customHeight="1" x14ac:dyDescent="0.25">
      <c r="A555" t="s">
        <v>780</v>
      </c>
      <c r="B555" t="s">
        <v>155</v>
      </c>
      <c r="C555" s="9">
        <v>45909</v>
      </c>
      <c r="D555" s="9">
        <v>45926</v>
      </c>
      <c r="E555">
        <v>0</v>
      </c>
      <c r="F555">
        <v>2541</v>
      </c>
      <c r="G555">
        <v>268</v>
      </c>
      <c r="H555" s="10">
        <v>693.41</v>
      </c>
      <c r="I555">
        <v>7.3999999999999996E-2</v>
      </c>
      <c r="J555">
        <v>1</v>
      </c>
    </row>
    <row r="556" spans="1:10" ht="15" customHeight="1" x14ac:dyDescent="0.25">
      <c r="A556" t="s">
        <v>781</v>
      </c>
      <c r="B556" t="s">
        <v>186</v>
      </c>
      <c r="C556" s="9">
        <v>45858</v>
      </c>
      <c r="D556" s="9">
        <v>45866</v>
      </c>
      <c r="E556">
        <v>0</v>
      </c>
      <c r="F556">
        <v>2614</v>
      </c>
      <c r="G556">
        <v>249</v>
      </c>
      <c r="H556" s="10">
        <v>215.86</v>
      </c>
      <c r="I556">
        <v>7.8E-2</v>
      </c>
      <c r="J556">
        <v>3</v>
      </c>
    </row>
    <row r="557" spans="1:10" ht="15" customHeight="1" x14ac:dyDescent="0.25">
      <c r="A557" t="s">
        <v>782</v>
      </c>
      <c r="B557" t="s">
        <v>189</v>
      </c>
      <c r="C557" s="9">
        <v>45926</v>
      </c>
      <c r="D557" s="9">
        <v>45933</v>
      </c>
      <c r="E557">
        <v>1</v>
      </c>
      <c r="F557">
        <v>2051</v>
      </c>
      <c r="G557">
        <v>97</v>
      </c>
      <c r="H557" s="10">
        <v>285.72000000000003</v>
      </c>
      <c r="I557">
        <v>0</v>
      </c>
      <c r="J557">
        <v>3</v>
      </c>
    </row>
    <row r="558" spans="1:10" ht="15" customHeight="1" x14ac:dyDescent="0.25">
      <c r="A558" t="s">
        <v>783</v>
      </c>
      <c r="B558" t="s">
        <v>179</v>
      </c>
      <c r="C558" s="9">
        <v>45772</v>
      </c>
      <c r="D558" s="9">
        <v>45777</v>
      </c>
      <c r="E558">
        <v>0</v>
      </c>
      <c r="F558">
        <v>1321</v>
      </c>
      <c r="G558">
        <v>108</v>
      </c>
      <c r="H558" s="10">
        <v>754.45</v>
      </c>
      <c r="I558">
        <v>-2.7E-2</v>
      </c>
      <c r="J558">
        <v>3</v>
      </c>
    </row>
    <row r="559" spans="1:10" ht="15" customHeight="1" x14ac:dyDescent="0.25">
      <c r="A559" t="s">
        <v>784</v>
      </c>
      <c r="B559" t="s">
        <v>201</v>
      </c>
      <c r="C559" s="9">
        <v>45910</v>
      </c>
      <c r="D559" s="9">
        <v>45917</v>
      </c>
      <c r="E559">
        <v>0</v>
      </c>
      <c r="F559">
        <v>1054</v>
      </c>
      <c r="G559">
        <v>112</v>
      </c>
      <c r="H559" s="10">
        <v>241.93</v>
      </c>
      <c r="I559">
        <v>3.0000000000000001E-3</v>
      </c>
      <c r="J559">
        <v>1</v>
      </c>
    </row>
    <row r="560" spans="1:10" ht="15" customHeight="1" x14ac:dyDescent="0.25">
      <c r="A560" t="s">
        <v>785</v>
      </c>
      <c r="B560" t="s">
        <v>183</v>
      </c>
      <c r="C560" s="9">
        <v>45946</v>
      </c>
      <c r="D560" s="9">
        <v>45963</v>
      </c>
      <c r="E560">
        <v>2</v>
      </c>
      <c r="F560">
        <v>1834</v>
      </c>
      <c r="G560">
        <v>88</v>
      </c>
      <c r="H560" s="10">
        <v>518.12</v>
      </c>
      <c r="I560">
        <v>2.1999999999999999E-2</v>
      </c>
      <c r="J560">
        <v>4</v>
      </c>
    </row>
    <row r="561" spans="1:10" ht="15" customHeight="1" x14ac:dyDescent="0.25">
      <c r="A561" t="s">
        <v>786</v>
      </c>
      <c r="B561" t="s">
        <v>171</v>
      </c>
      <c r="C561" s="9">
        <v>45765</v>
      </c>
      <c r="D561" s="9">
        <v>45772</v>
      </c>
      <c r="E561">
        <v>0</v>
      </c>
      <c r="F561">
        <v>1202</v>
      </c>
      <c r="G561">
        <v>126</v>
      </c>
      <c r="H561" s="10">
        <v>175.16</v>
      </c>
      <c r="I561">
        <v>4.2000000000000003E-2</v>
      </c>
      <c r="J561">
        <v>4</v>
      </c>
    </row>
    <row r="562" spans="1:10" ht="15" customHeight="1" x14ac:dyDescent="0.25">
      <c r="A562" t="s">
        <v>787</v>
      </c>
      <c r="B562" t="s">
        <v>189</v>
      </c>
      <c r="C562" s="9">
        <v>46028</v>
      </c>
      <c r="D562" s="9">
        <v>46042</v>
      </c>
      <c r="E562">
        <v>0</v>
      </c>
      <c r="F562">
        <v>853</v>
      </c>
      <c r="G562">
        <v>39</v>
      </c>
      <c r="H562" s="10">
        <v>214.28</v>
      </c>
      <c r="I562">
        <v>3.1E-2</v>
      </c>
      <c r="J562">
        <v>2</v>
      </c>
    </row>
    <row r="563" spans="1:10" ht="15" customHeight="1" x14ac:dyDescent="0.25">
      <c r="A563" t="s">
        <v>788</v>
      </c>
      <c r="B563" t="s">
        <v>133</v>
      </c>
      <c r="C563" s="9">
        <v>45997</v>
      </c>
      <c r="D563" s="9">
        <v>46009</v>
      </c>
      <c r="E563">
        <v>0</v>
      </c>
      <c r="F563">
        <v>3865</v>
      </c>
      <c r="G563">
        <v>180</v>
      </c>
      <c r="H563" s="10">
        <v>581.55999999999995</v>
      </c>
      <c r="I563">
        <v>-3.2000000000000001E-2</v>
      </c>
      <c r="J563">
        <v>2</v>
      </c>
    </row>
    <row r="564" spans="1:10" ht="15" customHeight="1" x14ac:dyDescent="0.25">
      <c r="A564" t="s">
        <v>789</v>
      </c>
      <c r="B564" t="s">
        <v>143</v>
      </c>
      <c r="C564" s="9">
        <v>45947</v>
      </c>
      <c r="D564" s="9">
        <v>45961</v>
      </c>
      <c r="E564">
        <v>0</v>
      </c>
      <c r="F564">
        <v>1948</v>
      </c>
      <c r="G564">
        <v>190</v>
      </c>
      <c r="H564" s="10">
        <v>228.72</v>
      </c>
      <c r="I564">
        <v>-2.4E-2</v>
      </c>
      <c r="J564">
        <v>5</v>
      </c>
    </row>
    <row r="565" spans="1:10" ht="15" customHeight="1" x14ac:dyDescent="0.25">
      <c r="A565" t="s">
        <v>790</v>
      </c>
      <c r="B565" t="s">
        <v>158</v>
      </c>
      <c r="C565" s="9">
        <v>46007</v>
      </c>
      <c r="D565" s="9">
        <v>46022</v>
      </c>
      <c r="E565">
        <v>0</v>
      </c>
      <c r="F565">
        <v>4416</v>
      </c>
      <c r="G565">
        <v>358</v>
      </c>
      <c r="H565" s="10">
        <v>459.83</v>
      </c>
      <c r="I565">
        <v>2.9000000000000001E-2</v>
      </c>
      <c r="J565">
        <v>5</v>
      </c>
    </row>
    <row r="566" spans="1:10" ht="15" customHeight="1" x14ac:dyDescent="0.25">
      <c r="A566" t="s">
        <v>791</v>
      </c>
      <c r="B566" t="s">
        <v>199</v>
      </c>
      <c r="C566" s="9">
        <v>46040</v>
      </c>
      <c r="D566" s="9">
        <v>46054</v>
      </c>
      <c r="E566">
        <v>0</v>
      </c>
      <c r="F566">
        <v>3873</v>
      </c>
      <c r="G566">
        <v>185</v>
      </c>
      <c r="H566" s="10">
        <v>628.91</v>
      </c>
      <c r="I566">
        <v>4.7E-2</v>
      </c>
      <c r="J566">
        <v>2</v>
      </c>
    </row>
    <row r="567" spans="1:10" ht="15" customHeight="1" x14ac:dyDescent="0.25">
      <c r="A567" t="s">
        <v>792</v>
      </c>
      <c r="B567" t="s">
        <v>171</v>
      </c>
      <c r="C567" s="9">
        <v>46021</v>
      </c>
      <c r="D567" s="9">
        <v>46028</v>
      </c>
      <c r="E567">
        <v>0</v>
      </c>
      <c r="F567">
        <v>222</v>
      </c>
      <c r="G567">
        <v>19</v>
      </c>
      <c r="H567" s="10">
        <v>551.78</v>
      </c>
      <c r="I567">
        <v>7.0000000000000001E-3</v>
      </c>
      <c r="J567">
        <v>5</v>
      </c>
    </row>
    <row r="568" spans="1:10" ht="15" customHeight="1" x14ac:dyDescent="0.25">
      <c r="A568" t="s">
        <v>793</v>
      </c>
      <c r="B568" t="s">
        <v>212</v>
      </c>
      <c r="C568" s="9">
        <v>46066</v>
      </c>
      <c r="D568" s="9">
        <v>46073</v>
      </c>
      <c r="E568">
        <v>0</v>
      </c>
      <c r="F568">
        <v>3403</v>
      </c>
      <c r="G568">
        <v>184</v>
      </c>
      <c r="H568" s="10">
        <v>591.58000000000004</v>
      </c>
      <c r="I568">
        <v>0.01</v>
      </c>
      <c r="J568">
        <v>1</v>
      </c>
    </row>
    <row r="569" spans="1:10" ht="15" customHeight="1" x14ac:dyDescent="0.25">
      <c r="A569" t="s">
        <v>794</v>
      </c>
      <c r="B569" t="s">
        <v>216</v>
      </c>
      <c r="C569" s="9">
        <v>45798</v>
      </c>
      <c r="D569" s="9">
        <v>45810</v>
      </c>
      <c r="E569">
        <v>0</v>
      </c>
      <c r="F569">
        <v>1090</v>
      </c>
      <c r="G569">
        <v>66</v>
      </c>
      <c r="H569" s="10">
        <v>684.18</v>
      </c>
      <c r="I569">
        <v>-2.3E-2</v>
      </c>
      <c r="J569">
        <v>2</v>
      </c>
    </row>
    <row r="570" spans="1:10" ht="15" customHeight="1" x14ac:dyDescent="0.25">
      <c r="A570" t="s">
        <v>795</v>
      </c>
      <c r="B570" t="s">
        <v>195</v>
      </c>
      <c r="C570" s="9">
        <v>45819</v>
      </c>
      <c r="D570" s="9">
        <v>45829</v>
      </c>
      <c r="E570">
        <v>0</v>
      </c>
      <c r="F570">
        <v>2454</v>
      </c>
      <c r="G570">
        <v>245</v>
      </c>
      <c r="H570" s="10">
        <v>86.43</v>
      </c>
      <c r="I570">
        <v>-3.2000000000000001E-2</v>
      </c>
      <c r="J570">
        <v>3</v>
      </c>
    </row>
    <row r="571" spans="1:10" ht="15" customHeight="1" x14ac:dyDescent="0.25">
      <c r="A571" t="s">
        <v>796</v>
      </c>
      <c r="B571" t="s">
        <v>116</v>
      </c>
      <c r="C571" s="9">
        <v>46048</v>
      </c>
      <c r="D571" s="9">
        <v>46055</v>
      </c>
      <c r="E571">
        <v>0</v>
      </c>
      <c r="F571">
        <v>4324</v>
      </c>
      <c r="G571">
        <v>148</v>
      </c>
      <c r="H571" s="10">
        <v>712.67</v>
      </c>
      <c r="I571">
        <v>6.6000000000000003E-2</v>
      </c>
      <c r="J571">
        <v>5</v>
      </c>
    </row>
    <row r="572" spans="1:10" ht="15" customHeight="1" x14ac:dyDescent="0.25">
      <c r="A572" t="s">
        <v>797</v>
      </c>
      <c r="B572" t="s">
        <v>167</v>
      </c>
      <c r="C572" s="9">
        <v>46007</v>
      </c>
      <c r="D572" s="9">
        <v>46024</v>
      </c>
      <c r="E572">
        <v>0</v>
      </c>
      <c r="F572">
        <v>2939</v>
      </c>
      <c r="G572">
        <v>117</v>
      </c>
      <c r="H572" s="10">
        <v>529.03</v>
      </c>
      <c r="I572">
        <v>2.5999999999999999E-2</v>
      </c>
      <c r="J572">
        <v>4</v>
      </c>
    </row>
    <row r="573" spans="1:10" ht="15" customHeight="1" x14ac:dyDescent="0.25">
      <c r="A573" t="s">
        <v>798</v>
      </c>
      <c r="B573" t="s">
        <v>128</v>
      </c>
      <c r="C573" s="9">
        <v>45810</v>
      </c>
      <c r="D573" s="9">
        <v>45823</v>
      </c>
      <c r="E573">
        <v>0</v>
      </c>
      <c r="F573">
        <v>185</v>
      </c>
      <c r="G573">
        <v>14</v>
      </c>
      <c r="H573" s="10">
        <v>604.47</v>
      </c>
      <c r="I573">
        <v>-3.4000000000000002E-2</v>
      </c>
      <c r="J573">
        <v>5</v>
      </c>
    </row>
    <row r="574" spans="1:10" ht="15" customHeight="1" x14ac:dyDescent="0.25">
      <c r="A574" t="s">
        <v>799</v>
      </c>
      <c r="B574" t="s">
        <v>199</v>
      </c>
      <c r="C574" s="9">
        <v>46048</v>
      </c>
      <c r="D574" s="9">
        <v>46058</v>
      </c>
      <c r="E574">
        <v>0</v>
      </c>
      <c r="F574">
        <v>1460</v>
      </c>
      <c r="G574">
        <v>59</v>
      </c>
      <c r="H574" s="10">
        <v>786.11</v>
      </c>
      <c r="I574">
        <v>6.0000000000000001E-3</v>
      </c>
      <c r="J574">
        <v>2</v>
      </c>
    </row>
    <row r="575" spans="1:10" ht="15" customHeight="1" x14ac:dyDescent="0.25">
      <c r="A575" t="s">
        <v>800</v>
      </c>
      <c r="B575" t="s">
        <v>189</v>
      </c>
      <c r="C575" s="9">
        <v>45933</v>
      </c>
      <c r="D575" s="9">
        <v>45942</v>
      </c>
      <c r="E575">
        <v>0</v>
      </c>
      <c r="F575">
        <v>1945</v>
      </c>
      <c r="G575">
        <v>69</v>
      </c>
      <c r="H575" s="10">
        <v>37.590000000000003</v>
      </c>
      <c r="I575">
        <v>-3.5999999999999997E-2</v>
      </c>
      <c r="J575">
        <v>3</v>
      </c>
    </row>
    <row r="576" spans="1:10" ht="15" customHeight="1" x14ac:dyDescent="0.25">
      <c r="A576" t="s">
        <v>801</v>
      </c>
      <c r="B576" t="s">
        <v>183</v>
      </c>
      <c r="C576" s="9">
        <v>45755</v>
      </c>
      <c r="D576" s="9">
        <v>45771</v>
      </c>
      <c r="E576">
        <v>0</v>
      </c>
      <c r="F576">
        <v>4379</v>
      </c>
      <c r="G576">
        <v>147</v>
      </c>
      <c r="H576" s="10">
        <v>660.27</v>
      </c>
      <c r="I576">
        <v>-1.4E-2</v>
      </c>
      <c r="J576">
        <v>2</v>
      </c>
    </row>
    <row r="577" spans="1:10" ht="15" customHeight="1" x14ac:dyDescent="0.25">
      <c r="A577" t="s">
        <v>802</v>
      </c>
      <c r="B577" t="s">
        <v>205</v>
      </c>
      <c r="C577" s="9">
        <v>46081</v>
      </c>
      <c r="D577" s="9">
        <v>46088</v>
      </c>
      <c r="E577">
        <v>0</v>
      </c>
      <c r="F577">
        <v>2409</v>
      </c>
      <c r="G577">
        <v>53</v>
      </c>
      <c r="H577" s="10">
        <v>821.34</v>
      </c>
      <c r="I577">
        <v>-8.9999999999999993E-3</v>
      </c>
      <c r="J577">
        <v>4</v>
      </c>
    </row>
    <row r="578" spans="1:10" ht="15" customHeight="1" x14ac:dyDescent="0.25">
      <c r="A578" t="s">
        <v>803</v>
      </c>
      <c r="B578" t="s">
        <v>133</v>
      </c>
      <c r="C578" s="9">
        <v>46032</v>
      </c>
      <c r="D578" s="9">
        <v>46049</v>
      </c>
      <c r="E578">
        <v>0</v>
      </c>
      <c r="F578">
        <v>3630</v>
      </c>
      <c r="G578">
        <v>61</v>
      </c>
      <c r="H578" s="10">
        <v>556.62</v>
      </c>
      <c r="I578">
        <v>-4.1000000000000002E-2</v>
      </c>
      <c r="J578">
        <v>1</v>
      </c>
    </row>
    <row r="579" spans="1:10" ht="15" customHeight="1" x14ac:dyDescent="0.25">
      <c r="A579" t="s">
        <v>804</v>
      </c>
      <c r="B579" t="s">
        <v>161</v>
      </c>
      <c r="C579" s="9">
        <v>45795</v>
      </c>
      <c r="D579" s="9">
        <v>45814</v>
      </c>
      <c r="E579">
        <v>0</v>
      </c>
      <c r="F579">
        <v>4051</v>
      </c>
      <c r="G579">
        <v>341</v>
      </c>
      <c r="H579" s="10">
        <v>615.94000000000005</v>
      </c>
      <c r="I579">
        <v>5.0999999999999997E-2</v>
      </c>
      <c r="J579">
        <v>2</v>
      </c>
    </row>
    <row r="580" spans="1:10" ht="15" customHeight="1" x14ac:dyDescent="0.25">
      <c r="A580" t="s">
        <v>805</v>
      </c>
      <c r="B580" t="s">
        <v>201</v>
      </c>
      <c r="C580" s="9">
        <v>45819</v>
      </c>
      <c r="D580" s="9">
        <v>45827</v>
      </c>
      <c r="E580">
        <v>0</v>
      </c>
      <c r="F580">
        <v>687</v>
      </c>
      <c r="G580">
        <v>72</v>
      </c>
      <c r="H580" s="10">
        <v>898.95</v>
      </c>
      <c r="I580">
        <v>6.7000000000000004E-2</v>
      </c>
      <c r="J580">
        <v>2</v>
      </c>
    </row>
    <row r="581" spans="1:10" ht="15" customHeight="1" x14ac:dyDescent="0.25">
      <c r="A581" t="s">
        <v>806</v>
      </c>
      <c r="B581" t="s">
        <v>197</v>
      </c>
      <c r="C581" s="9">
        <v>45829</v>
      </c>
      <c r="D581" s="9">
        <v>45849</v>
      </c>
      <c r="E581">
        <v>0</v>
      </c>
      <c r="F581">
        <v>4037</v>
      </c>
      <c r="G581">
        <v>155</v>
      </c>
      <c r="H581" s="10">
        <v>586.49</v>
      </c>
      <c r="I581">
        <v>7.1999999999999995E-2</v>
      </c>
      <c r="J581">
        <v>5</v>
      </c>
    </row>
    <row r="582" spans="1:10" ht="15" customHeight="1" x14ac:dyDescent="0.25">
      <c r="A582" t="s">
        <v>807</v>
      </c>
      <c r="B582" t="s">
        <v>183</v>
      </c>
      <c r="C582" s="9">
        <v>45946</v>
      </c>
      <c r="D582" s="9">
        <v>45959</v>
      </c>
      <c r="E582">
        <v>0</v>
      </c>
      <c r="F582">
        <v>1608</v>
      </c>
      <c r="G582">
        <v>58</v>
      </c>
      <c r="H582" s="10">
        <v>50.23</v>
      </c>
      <c r="I582">
        <v>6.9000000000000006E-2</v>
      </c>
      <c r="J582">
        <v>3</v>
      </c>
    </row>
    <row r="583" spans="1:10" ht="15" customHeight="1" x14ac:dyDescent="0.25">
      <c r="A583" t="s">
        <v>808</v>
      </c>
      <c r="B583" t="s">
        <v>143</v>
      </c>
      <c r="C583" s="9">
        <v>45954</v>
      </c>
      <c r="D583" s="9">
        <v>45967</v>
      </c>
      <c r="E583">
        <v>2</v>
      </c>
      <c r="F583">
        <v>4253</v>
      </c>
      <c r="G583">
        <v>407</v>
      </c>
      <c r="H583" s="10">
        <v>722.62</v>
      </c>
      <c r="I583">
        <v>6.0000000000000001E-3</v>
      </c>
      <c r="J583">
        <v>3</v>
      </c>
    </row>
    <row r="584" spans="1:10" ht="15" customHeight="1" x14ac:dyDescent="0.25">
      <c r="A584" t="s">
        <v>809</v>
      </c>
      <c r="B584" t="s">
        <v>208</v>
      </c>
      <c r="C584" s="9">
        <v>45955</v>
      </c>
      <c r="D584" s="9">
        <v>45967</v>
      </c>
      <c r="E584">
        <v>0</v>
      </c>
      <c r="F584">
        <v>631</v>
      </c>
      <c r="G584">
        <v>62</v>
      </c>
      <c r="H584" s="10">
        <v>817.1</v>
      </c>
      <c r="I584">
        <v>6.7000000000000004E-2</v>
      </c>
      <c r="J584">
        <v>1</v>
      </c>
    </row>
    <row r="585" spans="1:10" ht="15" customHeight="1" x14ac:dyDescent="0.25">
      <c r="A585" t="s">
        <v>810</v>
      </c>
      <c r="B585" t="s">
        <v>216</v>
      </c>
      <c r="C585" s="9">
        <v>45857</v>
      </c>
      <c r="D585" s="9">
        <v>45876</v>
      </c>
      <c r="E585">
        <v>0</v>
      </c>
      <c r="F585">
        <v>3439</v>
      </c>
      <c r="G585">
        <v>195</v>
      </c>
      <c r="H585" s="10">
        <v>404.83</v>
      </c>
      <c r="I585">
        <v>3.7999999999999999E-2</v>
      </c>
      <c r="J585">
        <v>1</v>
      </c>
    </row>
    <row r="586" spans="1:10" ht="15" customHeight="1" x14ac:dyDescent="0.25">
      <c r="A586" t="s">
        <v>811</v>
      </c>
      <c r="B586" t="s">
        <v>152</v>
      </c>
      <c r="C586" s="9">
        <v>46058</v>
      </c>
      <c r="D586" s="9">
        <v>46065</v>
      </c>
      <c r="E586">
        <v>0</v>
      </c>
      <c r="F586">
        <v>2545</v>
      </c>
      <c r="G586">
        <v>126</v>
      </c>
      <c r="H586" s="10">
        <v>765.54</v>
      </c>
      <c r="I586">
        <v>-0.03</v>
      </c>
      <c r="J586">
        <v>5</v>
      </c>
    </row>
    <row r="587" spans="1:10" ht="15" customHeight="1" x14ac:dyDescent="0.25">
      <c r="A587" t="s">
        <v>812</v>
      </c>
      <c r="B587" t="s">
        <v>193</v>
      </c>
      <c r="C587" s="9">
        <v>46044</v>
      </c>
      <c r="D587" s="9">
        <v>46057</v>
      </c>
      <c r="E587">
        <v>0</v>
      </c>
      <c r="F587">
        <v>1384</v>
      </c>
      <c r="G587">
        <v>132</v>
      </c>
      <c r="H587" s="10">
        <v>733.44</v>
      </c>
      <c r="I587">
        <v>7.1999999999999995E-2</v>
      </c>
      <c r="J587">
        <v>2</v>
      </c>
    </row>
    <row r="588" spans="1:10" ht="15" customHeight="1" x14ac:dyDescent="0.25">
      <c r="A588" t="s">
        <v>813</v>
      </c>
      <c r="B588" t="s">
        <v>176</v>
      </c>
      <c r="C588" s="9">
        <v>46066</v>
      </c>
      <c r="D588" s="9">
        <v>46079</v>
      </c>
      <c r="E588">
        <v>0</v>
      </c>
      <c r="F588">
        <v>4524</v>
      </c>
      <c r="G588">
        <v>49</v>
      </c>
      <c r="H588" s="10">
        <v>390.93</v>
      </c>
      <c r="I588">
        <v>5.2999999999999999E-2</v>
      </c>
      <c r="J588">
        <v>3</v>
      </c>
    </row>
    <row r="589" spans="1:10" ht="15" customHeight="1" x14ac:dyDescent="0.25">
      <c r="A589" t="s">
        <v>814</v>
      </c>
      <c r="B589" t="s">
        <v>152</v>
      </c>
      <c r="C589" s="9">
        <v>45791</v>
      </c>
      <c r="D589" s="9">
        <v>45798</v>
      </c>
      <c r="E589">
        <v>0</v>
      </c>
      <c r="F589">
        <v>2718</v>
      </c>
      <c r="G589">
        <v>74</v>
      </c>
      <c r="H589" s="10">
        <v>370.13</v>
      </c>
      <c r="I589">
        <v>-1.2999999999999999E-2</v>
      </c>
      <c r="J589">
        <v>3</v>
      </c>
    </row>
    <row r="590" spans="1:10" ht="15" customHeight="1" x14ac:dyDescent="0.25">
      <c r="A590" t="s">
        <v>815</v>
      </c>
      <c r="B590" t="s">
        <v>169</v>
      </c>
      <c r="C590" s="9">
        <v>45888</v>
      </c>
      <c r="D590" s="9">
        <v>45898</v>
      </c>
      <c r="E590">
        <v>0</v>
      </c>
      <c r="F590">
        <v>4232</v>
      </c>
      <c r="G590">
        <v>329</v>
      </c>
      <c r="H590" s="10">
        <v>711.06</v>
      </c>
      <c r="I590">
        <v>-2.5000000000000001E-2</v>
      </c>
      <c r="J590">
        <v>5</v>
      </c>
    </row>
    <row r="591" spans="1:10" ht="15" customHeight="1" x14ac:dyDescent="0.25">
      <c r="A591" t="s">
        <v>816</v>
      </c>
      <c r="B591" t="s">
        <v>116</v>
      </c>
      <c r="C591" s="9">
        <v>45815</v>
      </c>
      <c r="D591" s="9">
        <v>45823</v>
      </c>
      <c r="E591">
        <v>0</v>
      </c>
      <c r="F591">
        <v>4378</v>
      </c>
      <c r="G591">
        <v>97</v>
      </c>
      <c r="H591" s="10">
        <v>505.64</v>
      </c>
      <c r="I591">
        <v>-1.6E-2</v>
      </c>
      <c r="J591">
        <v>3</v>
      </c>
    </row>
    <row r="592" spans="1:10" ht="15" customHeight="1" x14ac:dyDescent="0.25">
      <c r="A592" t="s">
        <v>817</v>
      </c>
      <c r="B592" t="s">
        <v>169</v>
      </c>
      <c r="C592" s="9">
        <v>45843</v>
      </c>
      <c r="D592" s="9">
        <v>45862</v>
      </c>
      <c r="E592">
        <v>3</v>
      </c>
      <c r="F592">
        <v>3873</v>
      </c>
      <c r="G592">
        <v>318</v>
      </c>
      <c r="H592" s="10">
        <v>389.13</v>
      </c>
      <c r="I592">
        <v>4.2999999999999997E-2</v>
      </c>
      <c r="J592">
        <v>4</v>
      </c>
    </row>
    <row r="593" spans="1:10" ht="15" customHeight="1" x14ac:dyDescent="0.25">
      <c r="A593" t="s">
        <v>818</v>
      </c>
      <c r="B593" t="s">
        <v>150</v>
      </c>
      <c r="C593" s="9">
        <v>45877</v>
      </c>
      <c r="D593" s="9">
        <v>45888</v>
      </c>
      <c r="E593">
        <v>0</v>
      </c>
      <c r="F593">
        <v>2094</v>
      </c>
      <c r="G593">
        <v>93</v>
      </c>
      <c r="H593" s="10">
        <v>144.03</v>
      </c>
      <c r="I593">
        <v>-4.7E-2</v>
      </c>
      <c r="J593">
        <v>2</v>
      </c>
    </row>
    <row r="594" spans="1:10" ht="15" customHeight="1" x14ac:dyDescent="0.25">
      <c r="A594" t="s">
        <v>819</v>
      </c>
      <c r="B594" t="s">
        <v>128</v>
      </c>
      <c r="C594" s="9">
        <v>45830</v>
      </c>
      <c r="D594" s="9">
        <v>45838</v>
      </c>
      <c r="E594">
        <v>0</v>
      </c>
      <c r="F594">
        <v>4377</v>
      </c>
      <c r="G594">
        <v>289</v>
      </c>
      <c r="H594" s="10">
        <v>440.74</v>
      </c>
      <c r="I594">
        <v>3.5000000000000003E-2</v>
      </c>
      <c r="J594">
        <v>5</v>
      </c>
    </row>
    <row r="595" spans="1:10" ht="15" customHeight="1" x14ac:dyDescent="0.25">
      <c r="A595" t="s">
        <v>820</v>
      </c>
      <c r="B595" t="s">
        <v>197</v>
      </c>
      <c r="C595" s="9">
        <v>45974</v>
      </c>
      <c r="D595" s="9">
        <v>45990</v>
      </c>
      <c r="E595">
        <v>0</v>
      </c>
      <c r="F595">
        <v>131</v>
      </c>
      <c r="G595">
        <v>6</v>
      </c>
      <c r="H595" s="10">
        <v>894.08</v>
      </c>
      <c r="I595">
        <v>3.6999999999999998E-2</v>
      </c>
      <c r="J595">
        <v>1</v>
      </c>
    </row>
    <row r="596" spans="1:10" ht="15" customHeight="1" x14ac:dyDescent="0.25">
      <c r="A596" t="s">
        <v>821</v>
      </c>
      <c r="B596" t="s">
        <v>201</v>
      </c>
      <c r="C596" s="9">
        <v>45812</v>
      </c>
      <c r="D596" s="9">
        <v>45829</v>
      </c>
      <c r="E596">
        <v>0</v>
      </c>
      <c r="F596">
        <v>3298</v>
      </c>
      <c r="G596">
        <v>376</v>
      </c>
      <c r="H596" s="10">
        <v>278.01</v>
      </c>
      <c r="I596">
        <v>2.9000000000000001E-2</v>
      </c>
      <c r="J596">
        <v>2</v>
      </c>
    </row>
    <row r="597" spans="1:10" ht="15" customHeight="1" x14ac:dyDescent="0.25">
      <c r="A597" t="s">
        <v>822</v>
      </c>
      <c r="B597" t="s">
        <v>216</v>
      </c>
      <c r="C597" s="9">
        <v>45980</v>
      </c>
      <c r="D597" s="9">
        <v>45996</v>
      </c>
      <c r="E597">
        <v>0</v>
      </c>
      <c r="F597">
        <v>3092</v>
      </c>
      <c r="G597">
        <v>155</v>
      </c>
      <c r="H597" s="10">
        <v>199.55</v>
      </c>
      <c r="I597">
        <v>7.8E-2</v>
      </c>
      <c r="J597">
        <v>4</v>
      </c>
    </row>
    <row r="598" spans="1:10" ht="15" customHeight="1" x14ac:dyDescent="0.25">
      <c r="A598" t="s">
        <v>823</v>
      </c>
      <c r="B598" t="s">
        <v>201</v>
      </c>
      <c r="C598" s="9">
        <v>45829</v>
      </c>
      <c r="D598" s="9">
        <v>45846</v>
      </c>
      <c r="E598">
        <v>0</v>
      </c>
      <c r="F598">
        <v>301</v>
      </c>
      <c r="G598">
        <v>25</v>
      </c>
      <c r="H598" s="10">
        <v>440.41</v>
      </c>
      <c r="I598">
        <v>-2.8000000000000001E-2</v>
      </c>
      <c r="J598">
        <v>1</v>
      </c>
    </row>
    <row r="599" spans="1:10" ht="15" customHeight="1" x14ac:dyDescent="0.25">
      <c r="A599" t="s">
        <v>824</v>
      </c>
      <c r="B599" t="s">
        <v>195</v>
      </c>
      <c r="C599" s="9">
        <v>45754</v>
      </c>
      <c r="D599" s="9">
        <v>45768</v>
      </c>
      <c r="E599">
        <v>0</v>
      </c>
      <c r="F599">
        <v>679</v>
      </c>
      <c r="G599">
        <v>50</v>
      </c>
      <c r="H599" s="10">
        <v>439.25</v>
      </c>
      <c r="I599">
        <v>-1.7999999999999999E-2</v>
      </c>
      <c r="J599">
        <v>2</v>
      </c>
    </row>
    <row r="600" spans="1:10" ht="15" customHeight="1" x14ac:dyDescent="0.25">
      <c r="A600" t="s">
        <v>825</v>
      </c>
      <c r="B600" t="s">
        <v>128</v>
      </c>
      <c r="C600" s="9">
        <v>45914</v>
      </c>
      <c r="D600" s="9">
        <v>45931</v>
      </c>
      <c r="E600">
        <v>0</v>
      </c>
      <c r="F600">
        <v>2540</v>
      </c>
      <c r="G600">
        <v>132</v>
      </c>
      <c r="H600" s="10">
        <v>330.29</v>
      </c>
      <c r="I600">
        <v>-2.4E-2</v>
      </c>
      <c r="J600">
        <v>2</v>
      </c>
    </row>
    <row r="601" spans="1:10" ht="15" customHeight="1" x14ac:dyDescent="0.25">
      <c r="A601" t="s">
        <v>826</v>
      </c>
      <c r="B601" t="s">
        <v>207</v>
      </c>
      <c r="C601" s="9">
        <v>46080</v>
      </c>
      <c r="D601" s="9">
        <v>46093</v>
      </c>
      <c r="E601">
        <v>0</v>
      </c>
      <c r="F601">
        <v>167</v>
      </c>
      <c r="G601">
        <v>11</v>
      </c>
      <c r="H601" s="10">
        <v>768.79</v>
      </c>
      <c r="I601">
        <v>6.0000000000000001E-3</v>
      </c>
      <c r="J601">
        <v>3</v>
      </c>
    </row>
  </sheetData>
  <autoFilter ref="A1:J601" xr:uid="{00000000-0009-0000-0000-000005000000}"/>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8"/>
  <sheetViews>
    <sheetView zoomScaleNormal="100" workbookViewId="0">
      <pane ySplit="1" topLeftCell="A2" activePane="bottomLeft" state="frozen"/>
      <selection pane="bottomLeft" activeCell="F13" sqref="F13"/>
    </sheetView>
  </sheetViews>
  <sheetFormatPr defaultColWidth="8.7109375" defaultRowHeight="12.75" x14ac:dyDescent="0.2"/>
  <cols>
    <col min="1" max="1" width="26" customWidth="1"/>
    <col min="2" max="2" width="34" customWidth="1"/>
    <col min="3" max="3" width="16" customWidth="1"/>
    <col min="4" max="4" width="60" customWidth="1"/>
    <col min="5" max="6" width="16" customWidth="1"/>
  </cols>
  <sheetData>
    <row r="1" spans="1:6" ht="25.5" customHeight="1" x14ac:dyDescent="0.2">
      <c r="A1" s="6" t="s">
        <v>827</v>
      </c>
      <c r="B1" s="6" t="s">
        <v>828</v>
      </c>
      <c r="C1" s="6" t="s">
        <v>829</v>
      </c>
      <c r="D1" s="6" t="s">
        <v>830</v>
      </c>
      <c r="E1" s="6" t="s">
        <v>831</v>
      </c>
      <c r="F1" s="6" t="s">
        <v>832</v>
      </c>
    </row>
    <row r="2" spans="1:6" x14ac:dyDescent="0.2">
      <c r="A2" t="s">
        <v>833</v>
      </c>
      <c r="B2" t="s">
        <v>109</v>
      </c>
      <c r="C2" t="s">
        <v>834</v>
      </c>
      <c r="D2" t="s">
        <v>116</v>
      </c>
      <c r="E2">
        <v>40</v>
      </c>
      <c r="F2">
        <v>40</v>
      </c>
    </row>
    <row r="3" spans="1:6" x14ac:dyDescent="0.2">
      <c r="A3" t="s">
        <v>833</v>
      </c>
      <c r="B3" t="s">
        <v>110</v>
      </c>
      <c r="C3" t="s">
        <v>834</v>
      </c>
      <c r="D3" t="s">
        <v>117</v>
      </c>
      <c r="E3">
        <v>40</v>
      </c>
      <c r="F3">
        <v>32</v>
      </c>
    </row>
    <row r="4" spans="1:6" x14ac:dyDescent="0.2">
      <c r="A4" t="s">
        <v>833</v>
      </c>
      <c r="B4" t="s">
        <v>111</v>
      </c>
      <c r="C4" t="s">
        <v>834</v>
      </c>
      <c r="D4" t="s">
        <v>118</v>
      </c>
      <c r="E4">
        <v>40</v>
      </c>
      <c r="F4">
        <v>5</v>
      </c>
    </row>
    <row r="5" spans="1:6" x14ac:dyDescent="0.2">
      <c r="A5" t="s">
        <v>833</v>
      </c>
      <c r="B5" t="s">
        <v>112</v>
      </c>
      <c r="C5" t="s">
        <v>834</v>
      </c>
      <c r="D5" t="s">
        <v>119</v>
      </c>
      <c r="E5">
        <v>40</v>
      </c>
      <c r="F5">
        <v>19</v>
      </c>
    </row>
    <row r="6" spans="1:6" x14ac:dyDescent="0.2">
      <c r="A6" t="s">
        <v>833</v>
      </c>
      <c r="B6" t="s">
        <v>113</v>
      </c>
      <c r="C6" t="s">
        <v>834</v>
      </c>
      <c r="D6" t="s">
        <v>120</v>
      </c>
      <c r="E6">
        <v>40</v>
      </c>
      <c r="F6">
        <v>3</v>
      </c>
    </row>
    <row r="7" spans="1:6" x14ac:dyDescent="0.2">
      <c r="A7" t="s">
        <v>833</v>
      </c>
      <c r="B7" t="s">
        <v>114</v>
      </c>
      <c r="C7" t="s">
        <v>835</v>
      </c>
      <c r="D7" t="s">
        <v>836</v>
      </c>
      <c r="E7">
        <v>40</v>
      </c>
      <c r="F7">
        <v>17</v>
      </c>
    </row>
    <row r="8" spans="1:6" x14ac:dyDescent="0.2">
      <c r="A8" t="s">
        <v>833</v>
      </c>
      <c r="B8" t="s">
        <v>115</v>
      </c>
      <c r="C8" t="s">
        <v>834</v>
      </c>
      <c r="D8" t="s">
        <v>121</v>
      </c>
      <c r="E8">
        <v>40</v>
      </c>
      <c r="F8">
        <v>3</v>
      </c>
    </row>
    <row r="9" spans="1:6" x14ac:dyDescent="0.2">
      <c r="A9" t="s">
        <v>837</v>
      </c>
      <c r="B9" t="s">
        <v>218</v>
      </c>
      <c r="C9" t="s">
        <v>834</v>
      </c>
      <c r="D9" t="s">
        <v>227</v>
      </c>
      <c r="E9">
        <v>600</v>
      </c>
      <c r="F9">
        <v>600</v>
      </c>
    </row>
    <row r="10" spans="1:6" x14ac:dyDescent="0.2">
      <c r="A10" t="s">
        <v>837</v>
      </c>
      <c r="B10" t="s">
        <v>109</v>
      </c>
      <c r="C10" t="s">
        <v>834</v>
      </c>
      <c r="D10" t="s">
        <v>116</v>
      </c>
      <c r="E10">
        <v>600</v>
      </c>
      <c r="F10">
        <v>40</v>
      </c>
    </row>
    <row r="11" spans="1:6" x14ac:dyDescent="0.2">
      <c r="A11" t="s">
        <v>837</v>
      </c>
      <c r="B11" t="s">
        <v>219</v>
      </c>
      <c r="C11" t="s">
        <v>838</v>
      </c>
      <c r="D11" t="s">
        <v>839</v>
      </c>
      <c r="E11">
        <v>600</v>
      </c>
      <c r="F11">
        <v>280</v>
      </c>
    </row>
    <row r="12" spans="1:6" x14ac:dyDescent="0.2">
      <c r="A12" t="s">
        <v>837</v>
      </c>
      <c r="B12" t="s">
        <v>220</v>
      </c>
      <c r="C12" t="s">
        <v>838</v>
      </c>
      <c r="D12" t="s">
        <v>840</v>
      </c>
      <c r="E12">
        <v>600</v>
      </c>
      <c r="F12">
        <v>277</v>
      </c>
    </row>
    <row r="13" spans="1:6" x14ac:dyDescent="0.2">
      <c r="A13" t="s">
        <v>837</v>
      </c>
      <c r="B13" t="s">
        <v>221</v>
      </c>
      <c r="C13" t="s">
        <v>835</v>
      </c>
      <c r="D13" t="s">
        <v>841</v>
      </c>
      <c r="E13">
        <v>600</v>
      </c>
      <c r="F13">
        <v>7</v>
      </c>
    </row>
    <row r="14" spans="1:6" x14ac:dyDescent="0.2">
      <c r="A14" t="s">
        <v>837</v>
      </c>
      <c r="B14" t="s">
        <v>222</v>
      </c>
      <c r="C14" t="s">
        <v>835</v>
      </c>
      <c r="D14" t="s">
        <v>842</v>
      </c>
      <c r="E14">
        <v>600</v>
      </c>
      <c r="F14">
        <v>560</v>
      </c>
    </row>
    <row r="15" spans="1:6" x14ac:dyDescent="0.2">
      <c r="A15" t="s">
        <v>837</v>
      </c>
      <c r="B15" t="s">
        <v>223</v>
      </c>
      <c r="C15" t="s">
        <v>835</v>
      </c>
      <c r="D15" t="s">
        <v>843</v>
      </c>
      <c r="E15">
        <v>600</v>
      </c>
      <c r="F15">
        <v>281</v>
      </c>
    </row>
    <row r="16" spans="1:6" x14ac:dyDescent="0.2">
      <c r="A16" t="s">
        <v>837</v>
      </c>
      <c r="B16" t="s">
        <v>224</v>
      </c>
      <c r="C16" t="s">
        <v>844</v>
      </c>
      <c r="D16" t="s">
        <v>845</v>
      </c>
      <c r="E16">
        <v>600</v>
      </c>
      <c r="F16">
        <v>598</v>
      </c>
    </row>
    <row r="17" spans="1:6" x14ac:dyDescent="0.2">
      <c r="A17" t="s">
        <v>837</v>
      </c>
      <c r="B17" t="s">
        <v>225</v>
      </c>
      <c r="C17" t="s">
        <v>844</v>
      </c>
      <c r="D17" t="s">
        <v>846</v>
      </c>
      <c r="E17">
        <v>600</v>
      </c>
      <c r="F17">
        <v>131</v>
      </c>
    </row>
    <row r="18" spans="1:6" x14ac:dyDescent="0.2">
      <c r="A18" t="s">
        <v>837</v>
      </c>
      <c r="B18" t="s">
        <v>226</v>
      </c>
      <c r="C18" t="s">
        <v>835</v>
      </c>
      <c r="D18" t="s">
        <v>847</v>
      </c>
      <c r="E18">
        <v>600</v>
      </c>
      <c r="F18">
        <v>5</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8"/>
  <sheetViews>
    <sheetView zoomScaleNormal="100" workbookViewId="0">
      <pane ySplit="3" topLeftCell="A4" activePane="bottomLeft" state="frozen"/>
      <selection pane="bottomLeft" activeCell="F33" sqref="F33"/>
    </sheetView>
  </sheetViews>
  <sheetFormatPr defaultColWidth="8.7109375" defaultRowHeight="12.75" x14ac:dyDescent="0.2"/>
  <cols>
    <col min="1" max="1" width="5" customWidth="1"/>
    <col min="2" max="2" width="12" customWidth="1"/>
    <col min="3" max="3" width="16" customWidth="1"/>
    <col min="4" max="5" width="18" customWidth="1"/>
    <col min="6" max="6" width="50" customWidth="1"/>
    <col min="7" max="8" width="36" customWidth="1"/>
    <col min="9" max="9" width="12" customWidth="1"/>
    <col min="10" max="10" width="22" customWidth="1"/>
  </cols>
  <sheetData>
    <row r="1" spans="1:10" x14ac:dyDescent="0.2">
      <c r="A1" s="8" t="s">
        <v>0</v>
      </c>
    </row>
    <row r="2" spans="1:10" x14ac:dyDescent="0.2">
      <c r="A2" s="11" t="s">
        <v>1</v>
      </c>
    </row>
    <row r="3" spans="1:10" ht="25.5" customHeight="1" x14ac:dyDescent="0.2">
      <c r="A3" s="6" t="s">
        <v>2</v>
      </c>
      <c r="B3" s="6" t="s">
        <v>3</v>
      </c>
      <c r="C3" s="6" t="s">
        <v>4</v>
      </c>
      <c r="D3" s="6" t="s">
        <v>5</v>
      </c>
      <c r="E3" s="6" t="s">
        <v>6</v>
      </c>
      <c r="F3" s="6" t="s">
        <v>7</v>
      </c>
      <c r="G3" s="6" t="s">
        <v>8</v>
      </c>
      <c r="H3" s="6" t="s">
        <v>9</v>
      </c>
      <c r="I3" s="6" t="s">
        <v>10</v>
      </c>
      <c r="J3" s="6" t="s">
        <v>11</v>
      </c>
    </row>
    <row r="4" spans="1:10" ht="38.25" customHeight="1" x14ac:dyDescent="0.2">
      <c r="A4" s="12">
        <v>1</v>
      </c>
      <c r="B4" s="13">
        <v>46034</v>
      </c>
      <c r="C4" s="12" t="s">
        <v>12</v>
      </c>
      <c r="D4" s="12" t="s">
        <v>13</v>
      </c>
      <c r="E4" s="12" t="s">
        <v>14</v>
      </c>
      <c r="F4" s="12" t="s">
        <v>15</v>
      </c>
      <c r="G4" s="12" t="s">
        <v>16</v>
      </c>
      <c r="H4" s="12" t="s">
        <v>17</v>
      </c>
      <c r="I4" s="12" t="s">
        <v>18</v>
      </c>
      <c r="J4" s="12" t="s">
        <v>19</v>
      </c>
    </row>
    <row r="5" spans="1:10" ht="15" customHeight="1" x14ac:dyDescent="0.2">
      <c r="A5" s="7">
        <v>2</v>
      </c>
      <c r="B5" s="14">
        <v>46297</v>
      </c>
      <c r="C5" s="15" t="s">
        <v>926</v>
      </c>
      <c r="D5" s="15" t="s">
        <v>855</v>
      </c>
      <c r="E5" s="15"/>
      <c r="F5" s="15" t="s">
        <v>856</v>
      </c>
      <c r="G5" s="15" t="s">
        <v>857</v>
      </c>
      <c r="H5" s="15" t="s">
        <v>858</v>
      </c>
      <c r="I5" s="15" t="s">
        <v>859</v>
      </c>
      <c r="J5" s="15" t="s">
        <v>860</v>
      </c>
    </row>
    <row r="6" spans="1:10" ht="15" customHeight="1" x14ac:dyDescent="0.2">
      <c r="A6" s="7">
        <v>3</v>
      </c>
      <c r="B6" s="14">
        <v>46297</v>
      </c>
      <c r="C6" s="15" t="s">
        <v>926</v>
      </c>
      <c r="D6" s="15" t="s">
        <v>855</v>
      </c>
      <c r="E6" s="15"/>
      <c r="F6" s="15" t="s">
        <v>861</v>
      </c>
      <c r="G6" s="15" t="s">
        <v>862</v>
      </c>
      <c r="H6" s="15" t="s">
        <v>863</v>
      </c>
      <c r="I6" s="15" t="s">
        <v>864</v>
      </c>
      <c r="J6" s="15" t="s">
        <v>865</v>
      </c>
    </row>
    <row r="7" spans="1:10" ht="15" customHeight="1" x14ac:dyDescent="0.2">
      <c r="A7" s="7">
        <v>4</v>
      </c>
      <c r="B7" s="14">
        <v>46297</v>
      </c>
      <c r="C7" s="15" t="s">
        <v>926</v>
      </c>
      <c r="D7" s="15" t="s">
        <v>855</v>
      </c>
      <c r="E7" s="15"/>
      <c r="F7" s="15" t="s">
        <v>866</v>
      </c>
      <c r="G7" s="15" t="s">
        <v>867</v>
      </c>
      <c r="H7" s="15" t="s">
        <v>868</v>
      </c>
      <c r="I7" s="15" t="s">
        <v>859</v>
      </c>
      <c r="J7" s="15" t="s">
        <v>869</v>
      </c>
    </row>
    <row r="8" spans="1:10" ht="15" customHeight="1" x14ac:dyDescent="0.2">
      <c r="A8" s="7">
        <v>5</v>
      </c>
      <c r="B8" s="14">
        <v>46297</v>
      </c>
      <c r="C8" s="15" t="s">
        <v>926</v>
      </c>
      <c r="D8" s="15" t="s">
        <v>855</v>
      </c>
      <c r="E8" s="15"/>
      <c r="F8" s="15" t="s">
        <v>870</v>
      </c>
      <c r="G8" s="15" t="s">
        <v>871</v>
      </c>
      <c r="H8" s="15" t="s">
        <v>872</v>
      </c>
      <c r="I8" s="15" t="s">
        <v>859</v>
      </c>
      <c r="J8" s="15" t="s">
        <v>873</v>
      </c>
    </row>
    <row r="9" spans="1:10" ht="15" customHeight="1" x14ac:dyDescent="0.2">
      <c r="A9" s="7">
        <v>6</v>
      </c>
      <c r="B9" s="14">
        <v>46297</v>
      </c>
      <c r="C9" s="15" t="s">
        <v>926</v>
      </c>
      <c r="D9" s="15" t="s">
        <v>855</v>
      </c>
      <c r="E9" s="15"/>
      <c r="F9" s="15" t="s">
        <v>874</v>
      </c>
      <c r="G9" s="15" t="s">
        <v>875</v>
      </c>
      <c r="H9" s="15" t="s">
        <v>876</v>
      </c>
      <c r="I9" s="15" t="s">
        <v>859</v>
      </c>
      <c r="J9" s="15" t="s">
        <v>877</v>
      </c>
    </row>
    <row r="10" spans="1:10" ht="15" customHeight="1" x14ac:dyDescent="0.2">
      <c r="A10" s="7">
        <v>7</v>
      </c>
      <c r="B10" s="14">
        <v>46297</v>
      </c>
      <c r="C10" s="15" t="s">
        <v>926</v>
      </c>
      <c r="D10" s="15" t="s">
        <v>855</v>
      </c>
      <c r="E10" s="15"/>
      <c r="F10" s="15" t="s">
        <v>878</v>
      </c>
      <c r="G10" s="15" t="s">
        <v>879</v>
      </c>
      <c r="H10" s="15" t="s">
        <v>880</v>
      </c>
      <c r="I10" s="15" t="s">
        <v>18</v>
      </c>
      <c r="J10" s="15" t="s">
        <v>881</v>
      </c>
    </row>
    <row r="11" spans="1:10" ht="15" customHeight="1" x14ac:dyDescent="0.2">
      <c r="A11" s="7">
        <v>8</v>
      </c>
      <c r="B11" s="14">
        <v>46297</v>
      </c>
      <c r="C11" s="15" t="s">
        <v>926</v>
      </c>
      <c r="D11" s="15" t="s">
        <v>855</v>
      </c>
      <c r="E11" s="15"/>
      <c r="F11" s="15" t="s">
        <v>882</v>
      </c>
      <c r="G11" s="15" t="s">
        <v>883</v>
      </c>
      <c r="H11" s="15" t="s">
        <v>884</v>
      </c>
      <c r="I11" s="15" t="s">
        <v>859</v>
      </c>
      <c r="J11" s="15" t="s">
        <v>885</v>
      </c>
    </row>
    <row r="12" spans="1:10" ht="15" customHeight="1" x14ac:dyDescent="0.2">
      <c r="A12" s="7">
        <v>9</v>
      </c>
      <c r="B12" s="14">
        <v>46298</v>
      </c>
      <c r="C12" s="15" t="s">
        <v>926</v>
      </c>
      <c r="D12" s="15" t="s">
        <v>855</v>
      </c>
      <c r="E12" s="15"/>
      <c r="F12" s="15" t="s">
        <v>886</v>
      </c>
      <c r="G12" s="15" t="s">
        <v>887</v>
      </c>
      <c r="H12" s="15" t="s">
        <v>888</v>
      </c>
      <c r="I12" s="15" t="s">
        <v>18</v>
      </c>
      <c r="J12" s="15" t="s">
        <v>889</v>
      </c>
    </row>
    <row r="13" spans="1:10" ht="15" customHeight="1" x14ac:dyDescent="0.2">
      <c r="A13" s="7">
        <v>10</v>
      </c>
      <c r="B13" s="14">
        <v>46298</v>
      </c>
      <c r="C13" s="15" t="s">
        <v>926</v>
      </c>
      <c r="D13" s="15" t="s">
        <v>855</v>
      </c>
      <c r="E13" s="15"/>
      <c r="F13" s="15" t="s">
        <v>888</v>
      </c>
      <c r="G13" s="15" t="s">
        <v>890</v>
      </c>
      <c r="H13" s="15" t="s">
        <v>891</v>
      </c>
      <c r="I13" s="15" t="s">
        <v>859</v>
      </c>
      <c r="J13" s="15" t="s">
        <v>892</v>
      </c>
    </row>
    <row r="14" spans="1:10" ht="15" customHeight="1" x14ac:dyDescent="0.2">
      <c r="A14" s="7">
        <v>11</v>
      </c>
      <c r="B14" s="14">
        <v>46298</v>
      </c>
      <c r="C14" s="15" t="s">
        <v>926</v>
      </c>
      <c r="D14" s="15" t="s">
        <v>855</v>
      </c>
      <c r="E14" s="15"/>
      <c r="F14" s="15" t="s">
        <v>893</v>
      </c>
      <c r="G14" s="15" t="s">
        <v>894</v>
      </c>
      <c r="H14" s="15" t="s">
        <v>895</v>
      </c>
      <c r="I14" s="15" t="s">
        <v>859</v>
      </c>
      <c r="J14" s="15" t="s">
        <v>892</v>
      </c>
    </row>
    <row r="15" spans="1:10" ht="15" customHeight="1" x14ac:dyDescent="0.2">
      <c r="A15" s="7">
        <v>12</v>
      </c>
      <c r="B15" s="14">
        <v>46298</v>
      </c>
      <c r="C15" s="15" t="s">
        <v>926</v>
      </c>
      <c r="D15" s="15" t="s">
        <v>855</v>
      </c>
      <c r="E15" s="15"/>
      <c r="F15" s="15" t="s">
        <v>896</v>
      </c>
      <c r="G15" s="15" t="s">
        <v>897</v>
      </c>
      <c r="H15" s="15" t="s">
        <v>898</v>
      </c>
      <c r="I15" s="15" t="s">
        <v>859</v>
      </c>
      <c r="J15" s="15" t="s">
        <v>899</v>
      </c>
    </row>
    <row r="16" spans="1:10" ht="15" customHeight="1" x14ac:dyDescent="0.2">
      <c r="A16" s="7">
        <v>13</v>
      </c>
      <c r="B16" s="14">
        <v>46298</v>
      </c>
      <c r="C16" s="15" t="s">
        <v>926</v>
      </c>
      <c r="D16" s="15" t="s">
        <v>855</v>
      </c>
      <c r="E16" s="15"/>
      <c r="F16" s="15" t="s">
        <v>900</v>
      </c>
      <c r="G16" s="15" t="s">
        <v>901</v>
      </c>
      <c r="H16" s="15" t="s">
        <v>902</v>
      </c>
      <c r="I16" s="15" t="s">
        <v>859</v>
      </c>
      <c r="J16" s="15" t="s">
        <v>903</v>
      </c>
    </row>
    <row r="17" spans="1:10" ht="15" customHeight="1" x14ac:dyDescent="0.2">
      <c r="A17" s="7">
        <v>14</v>
      </c>
      <c r="B17" s="14">
        <v>46298</v>
      </c>
      <c r="C17" s="15" t="s">
        <v>926</v>
      </c>
      <c r="D17" s="15" t="s">
        <v>855</v>
      </c>
      <c r="E17" s="15"/>
      <c r="F17" s="15" t="s">
        <v>904</v>
      </c>
      <c r="G17" s="15" t="s">
        <v>905</v>
      </c>
      <c r="H17" s="15" t="s">
        <v>906</v>
      </c>
      <c r="I17" s="15" t="s">
        <v>859</v>
      </c>
      <c r="J17" s="15" t="s">
        <v>907</v>
      </c>
    </row>
    <row r="18" spans="1:10" ht="15" customHeight="1" x14ac:dyDescent="0.2">
      <c r="A18" s="7">
        <v>15</v>
      </c>
      <c r="B18" s="14">
        <v>46298</v>
      </c>
      <c r="C18" s="15" t="s">
        <v>926</v>
      </c>
      <c r="D18" s="15" t="s">
        <v>855</v>
      </c>
      <c r="E18" s="15"/>
      <c r="F18" s="15" t="s">
        <v>908</v>
      </c>
      <c r="G18" s="15" t="s">
        <v>909</v>
      </c>
      <c r="H18" s="15" t="s">
        <v>910</v>
      </c>
      <c r="I18" s="15" t="s">
        <v>859</v>
      </c>
      <c r="J18" s="15" t="s">
        <v>911</v>
      </c>
    </row>
    <row r="19" spans="1:10" ht="15" customHeight="1" x14ac:dyDescent="0.2">
      <c r="A19" s="7">
        <v>16</v>
      </c>
      <c r="B19" s="14">
        <v>46298</v>
      </c>
      <c r="C19" s="15" t="s">
        <v>926</v>
      </c>
      <c r="D19" s="15" t="s">
        <v>855</v>
      </c>
      <c r="E19" s="15"/>
      <c r="F19" s="15" t="s">
        <v>912</v>
      </c>
      <c r="G19" s="15" t="s">
        <v>913</v>
      </c>
      <c r="H19" s="15" t="s">
        <v>914</v>
      </c>
      <c r="I19" s="15" t="s">
        <v>859</v>
      </c>
      <c r="J19" s="15" t="s">
        <v>915</v>
      </c>
    </row>
    <row r="20" spans="1:10" ht="15" customHeight="1" x14ac:dyDescent="0.2">
      <c r="A20" s="7">
        <v>17</v>
      </c>
      <c r="B20" s="14">
        <v>46298</v>
      </c>
      <c r="C20" s="15" t="s">
        <v>926</v>
      </c>
      <c r="D20" s="15" t="s">
        <v>855</v>
      </c>
      <c r="E20" s="15"/>
      <c r="F20" s="15" t="s">
        <v>916</v>
      </c>
      <c r="G20" s="15" t="s">
        <v>917</v>
      </c>
      <c r="H20" s="15" t="s">
        <v>918</v>
      </c>
      <c r="I20" s="15" t="s">
        <v>859</v>
      </c>
      <c r="J20" s="15" t="s">
        <v>919</v>
      </c>
    </row>
    <row r="21" spans="1:10" ht="15" customHeight="1" x14ac:dyDescent="0.2">
      <c r="A21" s="7">
        <v>18</v>
      </c>
      <c r="B21" s="14">
        <v>46298</v>
      </c>
      <c r="C21" s="15" t="s">
        <v>926</v>
      </c>
      <c r="D21" s="15" t="s">
        <v>855</v>
      </c>
      <c r="E21" s="15"/>
      <c r="F21" s="15" t="s">
        <v>920</v>
      </c>
      <c r="G21" s="15" t="s">
        <v>921</v>
      </c>
      <c r="H21" s="15" t="s">
        <v>922</v>
      </c>
      <c r="I21" s="15" t="s">
        <v>859</v>
      </c>
      <c r="J21" s="15" t="s">
        <v>928</v>
      </c>
    </row>
    <row r="22" spans="1:10" ht="15" customHeight="1" x14ac:dyDescent="0.2">
      <c r="A22" s="7">
        <v>19</v>
      </c>
      <c r="B22" s="14">
        <v>46298</v>
      </c>
      <c r="C22" s="15" t="s">
        <v>926</v>
      </c>
      <c r="D22" s="15" t="s">
        <v>855</v>
      </c>
      <c r="E22" s="15"/>
      <c r="F22" s="15" t="s">
        <v>923</v>
      </c>
      <c r="G22" s="15" t="s">
        <v>924</v>
      </c>
      <c r="H22" s="15" t="s">
        <v>925</v>
      </c>
      <c r="I22" s="15" t="s">
        <v>859</v>
      </c>
      <c r="J22" s="15" t="s">
        <v>927</v>
      </c>
    </row>
    <row r="23" spans="1:10" ht="15" customHeight="1" x14ac:dyDescent="0.2">
      <c r="A23" s="7">
        <v>20</v>
      </c>
      <c r="B23" s="14"/>
      <c r="C23" s="15"/>
      <c r="D23" s="15"/>
      <c r="E23" s="15"/>
      <c r="F23" s="15"/>
      <c r="G23" s="15"/>
      <c r="H23" s="15"/>
      <c r="I23" s="15"/>
      <c r="J23" s="15"/>
    </row>
    <row r="24" spans="1:10" ht="15" customHeight="1" x14ac:dyDescent="0.2">
      <c r="A24" s="7">
        <v>21</v>
      </c>
      <c r="B24" s="14"/>
      <c r="C24" s="15"/>
      <c r="D24" s="15"/>
      <c r="E24" s="15"/>
      <c r="F24" s="15"/>
      <c r="G24" s="15"/>
      <c r="H24" s="15"/>
      <c r="I24" s="15"/>
      <c r="J24" s="15"/>
    </row>
    <row r="25" spans="1:10" ht="15" customHeight="1" x14ac:dyDescent="0.2">
      <c r="A25" s="7">
        <v>22</v>
      </c>
      <c r="B25" s="14"/>
      <c r="C25" s="15"/>
      <c r="D25" s="15"/>
      <c r="E25" s="15"/>
      <c r="F25" s="15"/>
      <c r="G25" s="15"/>
      <c r="H25" s="15"/>
      <c r="I25" s="15"/>
      <c r="J25" s="15"/>
    </row>
    <row r="26" spans="1:10" ht="15" customHeight="1" x14ac:dyDescent="0.2">
      <c r="A26" s="7">
        <v>23</v>
      </c>
      <c r="B26" s="14"/>
      <c r="C26" s="15"/>
      <c r="D26" s="15"/>
      <c r="E26" s="15"/>
      <c r="F26" s="15"/>
      <c r="G26" s="15"/>
      <c r="H26" s="15"/>
      <c r="I26" s="15"/>
      <c r="J26" s="15"/>
    </row>
    <row r="27" spans="1:10" ht="15" customHeight="1" x14ac:dyDescent="0.2">
      <c r="A27" s="7">
        <v>24</v>
      </c>
      <c r="B27" s="14"/>
      <c r="C27" s="15"/>
      <c r="D27" s="15"/>
      <c r="E27" s="15"/>
      <c r="F27" s="15"/>
      <c r="G27" s="15"/>
      <c r="H27" s="15"/>
      <c r="I27" s="15"/>
      <c r="J27" s="15"/>
    </row>
    <row r="28" spans="1:10" ht="15" customHeight="1" x14ac:dyDescent="0.2">
      <c r="A28" s="7">
        <v>25</v>
      </c>
      <c r="B28" s="14"/>
      <c r="C28" s="15"/>
      <c r="D28" s="15"/>
      <c r="E28" s="15"/>
      <c r="F28" s="15"/>
      <c r="G28" s="15"/>
      <c r="H28" s="15"/>
      <c r="I28" s="15"/>
      <c r="J28" s="15"/>
    </row>
  </sheetData>
  <dataValidations count="1">
    <dataValidation type="list" allowBlank="1" sqref="I5:I28" xr:uid="{00000000-0002-0000-0700-000000000000}">
      <formula1>"Kept,Rejected,Partly kept"</formula1>
      <formula2>0</formula2>
    </dataValidation>
  </dataValidation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41"/>
  <sheetViews>
    <sheetView tabSelected="1" workbookViewId="0">
      <pane ySplit="1" topLeftCell="A2" activePane="bottomLeft" state="frozen"/>
      <selection pane="bottomLeft" activeCell="N19" sqref="N19"/>
    </sheetView>
  </sheetViews>
  <sheetFormatPr defaultRowHeight="12.75" x14ac:dyDescent="0.2"/>
  <cols>
    <col min="1" max="1" width="14" customWidth="1"/>
    <col min="2" max="2" width="26" customWidth="1"/>
    <col min="3" max="3" width="18" customWidth="1"/>
    <col min="4" max="4" width="12" customWidth="1"/>
    <col min="5" max="5" width="25" customWidth="1"/>
    <col min="6" max="7" width="22" customWidth="1"/>
    <col min="8" max="8" width="18" customWidth="1"/>
    <col min="9" max="9" width="22" customWidth="1"/>
    <col min="10" max="10" width="25" customWidth="1"/>
  </cols>
  <sheetData>
    <row r="1" spans="1:10" ht="30" customHeight="1" x14ac:dyDescent="0.2">
      <c r="A1" s="22" t="s">
        <v>109</v>
      </c>
      <c r="B1" s="22" t="s">
        <v>110</v>
      </c>
      <c r="C1" s="22" t="s">
        <v>111</v>
      </c>
      <c r="D1" s="22" t="s">
        <v>848</v>
      </c>
      <c r="E1" s="22" t="s">
        <v>849</v>
      </c>
      <c r="F1" s="22" t="s">
        <v>850</v>
      </c>
      <c r="G1" s="22" t="s">
        <v>851</v>
      </c>
      <c r="H1" s="22" t="s">
        <v>852</v>
      </c>
      <c r="I1" s="22" t="s">
        <v>853</v>
      </c>
      <c r="J1" s="22" t="s">
        <v>854</v>
      </c>
    </row>
    <row r="2" spans="1:10" x14ac:dyDescent="0.2">
      <c r="A2" t="s">
        <v>116</v>
      </c>
      <c r="B2" t="s">
        <v>117</v>
      </c>
      <c r="C2" t="s">
        <v>118</v>
      </c>
      <c r="D2">
        <v>10</v>
      </c>
      <c r="E2" s="23">
        <v>90</v>
      </c>
      <c r="F2">
        <v>24638</v>
      </c>
      <c r="G2">
        <v>604</v>
      </c>
      <c r="H2" s="23">
        <v>2.4514976865005278</v>
      </c>
      <c r="I2" s="24">
        <v>1.7399999999999999E-2</v>
      </c>
      <c r="J2" s="23">
        <v>2.7</v>
      </c>
    </row>
    <row r="3" spans="1:10" x14ac:dyDescent="0.2">
      <c r="A3" t="s">
        <v>122</v>
      </c>
      <c r="B3" t="s">
        <v>123</v>
      </c>
      <c r="C3" t="s">
        <v>124</v>
      </c>
      <c r="D3">
        <v>12</v>
      </c>
      <c r="E3" s="23">
        <v>91.666666666666657</v>
      </c>
      <c r="F3">
        <v>30182</v>
      </c>
      <c r="G3">
        <v>2449</v>
      </c>
      <c r="H3" s="23">
        <v>8.1141077463388775</v>
      </c>
      <c r="I3" s="24">
        <v>6.2499999999999986E-3</v>
      </c>
      <c r="J3" s="23">
        <v>3</v>
      </c>
    </row>
    <row r="4" spans="1:10" x14ac:dyDescent="0.2">
      <c r="A4" t="s">
        <v>128</v>
      </c>
      <c r="B4" t="s">
        <v>129</v>
      </c>
      <c r="C4" t="s">
        <v>118</v>
      </c>
      <c r="D4">
        <v>19</v>
      </c>
      <c r="E4" s="23">
        <v>84.210526315789465</v>
      </c>
      <c r="F4">
        <v>38153</v>
      </c>
      <c r="G4">
        <v>2435</v>
      </c>
      <c r="H4" s="23">
        <v>6.3821979922941834</v>
      </c>
      <c r="I4" s="24">
        <v>2.5210526315789471E-2</v>
      </c>
      <c r="J4" s="23">
        <v>3.5789473684210531</v>
      </c>
    </row>
    <row r="5" spans="1:10" x14ac:dyDescent="0.2">
      <c r="A5" t="s">
        <v>130</v>
      </c>
      <c r="B5" t="s">
        <v>131</v>
      </c>
      <c r="C5" t="s">
        <v>132</v>
      </c>
      <c r="D5">
        <v>11</v>
      </c>
      <c r="E5" s="23">
        <v>100</v>
      </c>
      <c r="F5">
        <v>29202</v>
      </c>
      <c r="G5">
        <v>1759</v>
      </c>
      <c r="H5" s="23">
        <v>6.0235600301349219</v>
      </c>
      <c r="I5" s="24">
        <v>1.7090909090909091E-2</v>
      </c>
      <c r="J5" s="23">
        <v>3.454545454545455</v>
      </c>
    </row>
    <row r="6" spans="1:10" x14ac:dyDescent="0.2">
      <c r="A6" t="s">
        <v>133</v>
      </c>
      <c r="B6" t="s">
        <v>134</v>
      </c>
      <c r="C6" t="s">
        <v>135</v>
      </c>
      <c r="D6">
        <v>13</v>
      </c>
      <c r="E6" s="23">
        <v>100</v>
      </c>
      <c r="F6">
        <v>35088</v>
      </c>
      <c r="G6">
        <v>985</v>
      </c>
      <c r="H6" s="23">
        <v>2.8072275421796631</v>
      </c>
      <c r="I6" s="24">
        <v>-1.0384615384615379E-2</v>
      </c>
      <c r="J6" s="23">
        <v>3.1538461538461542</v>
      </c>
    </row>
    <row r="7" spans="1:10" x14ac:dyDescent="0.2">
      <c r="A7" t="s">
        <v>137</v>
      </c>
      <c r="B7" t="s">
        <v>138</v>
      </c>
      <c r="C7" t="s">
        <v>124</v>
      </c>
      <c r="D7">
        <v>17</v>
      </c>
      <c r="E7" s="23">
        <v>94.117647058823522</v>
      </c>
      <c r="F7">
        <v>34028</v>
      </c>
      <c r="G7">
        <v>1872</v>
      </c>
      <c r="H7" s="23">
        <v>5.5013518279064293</v>
      </c>
      <c r="I7" s="24">
        <v>4.01764705882353E-2</v>
      </c>
      <c r="J7" s="23">
        <v>2.8235294117647061</v>
      </c>
    </row>
    <row r="8" spans="1:10" x14ac:dyDescent="0.2">
      <c r="A8" t="s">
        <v>140</v>
      </c>
      <c r="B8" t="s">
        <v>141</v>
      </c>
      <c r="C8" t="s">
        <v>135</v>
      </c>
      <c r="D8">
        <v>10</v>
      </c>
      <c r="E8" s="23">
        <v>100</v>
      </c>
      <c r="F8">
        <v>21828</v>
      </c>
      <c r="G8">
        <v>258</v>
      </c>
      <c r="H8" s="23">
        <v>1.181968114348543</v>
      </c>
      <c r="I8" s="24">
        <v>1.5599999999999999E-2</v>
      </c>
      <c r="J8" s="23">
        <v>2.1</v>
      </c>
    </row>
    <row r="9" spans="1:10" x14ac:dyDescent="0.2">
      <c r="A9" t="s">
        <v>143</v>
      </c>
      <c r="B9" t="s">
        <v>144</v>
      </c>
      <c r="C9" t="s">
        <v>118</v>
      </c>
      <c r="D9">
        <v>17</v>
      </c>
      <c r="E9" s="23">
        <v>88.235294117647058</v>
      </c>
      <c r="F9">
        <v>33177</v>
      </c>
      <c r="G9">
        <v>3102</v>
      </c>
      <c r="H9" s="23">
        <v>9.3498508002531864</v>
      </c>
      <c r="I9" s="24">
        <v>1.9588235294117649E-2</v>
      </c>
      <c r="J9" s="23">
        <v>2.5294117647058818</v>
      </c>
    </row>
    <row r="10" spans="1:10" x14ac:dyDescent="0.2">
      <c r="A10" t="s">
        <v>147</v>
      </c>
      <c r="B10" t="s">
        <v>148</v>
      </c>
      <c r="C10" t="s">
        <v>135</v>
      </c>
      <c r="D10">
        <v>12</v>
      </c>
      <c r="E10" s="23">
        <v>100</v>
      </c>
      <c r="F10">
        <v>33679</v>
      </c>
      <c r="G10">
        <v>2938</v>
      </c>
      <c r="H10" s="23">
        <v>8.7235369221176402</v>
      </c>
      <c r="I10" s="24">
        <v>1.325E-2</v>
      </c>
      <c r="J10" s="23">
        <v>2.666666666666667</v>
      </c>
    </row>
    <row r="11" spans="1:10" x14ac:dyDescent="0.2">
      <c r="A11" t="s">
        <v>150</v>
      </c>
      <c r="B11" t="s">
        <v>151</v>
      </c>
      <c r="C11" t="s">
        <v>132</v>
      </c>
      <c r="D11">
        <v>17</v>
      </c>
      <c r="E11" s="23">
        <v>82.35294117647058</v>
      </c>
      <c r="F11">
        <v>41410</v>
      </c>
      <c r="G11">
        <v>1705</v>
      </c>
      <c r="H11" s="23">
        <v>4.117362955807776</v>
      </c>
      <c r="I11" s="24">
        <v>1.594117647058824E-2</v>
      </c>
      <c r="J11" s="23">
        <v>2.9411764705882359</v>
      </c>
    </row>
    <row r="12" spans="1:10" x14ac:dyDescent="0.2">
      <c r="A12" t="s">
        <v>152</v>
      </c>
      <c r="B12" t="s">
        <v>153</v>
      </c>
      <c r="C12" t="s">
        <v>118</v>
      </c>
      <c r="D12">
        <v>20</v>
      </c>
      <c r="E12" s="23">
        <v>95</v>
      </c>
      <c r="F12">
        <v>50401</v>
      </c>
      <c r="G12">
        <v>2724</v>
      </c>
      <c r="H12" s="23">
        <v>5.4046546695502071</v>
      </c>
      <c r="I12" s="24">
        <v>1.555E-2</v>
      </c>
      <c r="J12" s="23">
        <v>3.15</v>
      </c>
    </row>
    <row r="13" spans="1:10" x14ac:dyDescent="0.2">
      <c r="A13" t="s">
        <v>155</v>
      </c>
      <c r="B13" t="s">
        <v>156</v>
      </c>
      <c r="C13" t="s">
        <v>118</v>
      </c>
      <c r="D13">
        <v>11</v>
      </c>
      <c r="E13" s="23">
        <v>90.909090909090907</v>
      </c>
      <c r="F13">
        <v>28741</v>
      </c>
      <c r="G13">
        <v>2823</v>
      </c>
      <c r="H13" s="23">
        <v>9.8222052120663861</v>
      </c>
      <c r="I13" s="24">
        <v>1.4818181818181821E-2</v>
      </c>
      <c r="J13" s="23">
        <v>3.454545454545455</v>
      </c>
    </row>
    <row r="14" spans="1:10" x14ac:dyDescent="0.2">
      <c r="A14" t="s">
        <v>158</v>
      </c>
      <c r="B14" t="s">
        <v>159</v>
      </c>
      <c r="C14" t="s">
        <v>124</v>
      </c>
      <c r="D14">
        <v>13</v>
      </c>
      <c r="E14" s="23">
        <v>92.307692307692307</v>
      </c>
      <c r="F14">
        <v>38350</v>
      </c>
      <c r="G14">
        <v>2597</v>
      </c>
      <c r="H14" s="23">
        <v>6.7718383311603656</v>
      </c>
      <c r="I14" s="24">
        <v>3.0923076923076921E-2</v>
      </c>
      <c r="J14" s="23">
        <v>3</v>
      </c>
    </row>
    <row r="15" spans="1:10" x14ac:dyDescent="0.2">
      <c r="A15" t="s">
        <v>161</v>
      </c>
      <c r="B15" t="s">
        <v>162</v>
      </c>
      <c r="C15" t="s">
        <v>132</v>
      </c>
      <c r="D15">
        <v>19</v>
      </c>
      <c r="E15" s="23">
        <v>89.473684210526315</v>
      </c>
      <c r="F15">
        <v>42458</v>
      </c>
      <c r="G15">
        <v>3987</v>
      </c>
      <c r="H15" s="23">
        <v>9.390456451081068</v>
      </c>
      <c r="I15" s="24">
        <v>1.2947368421052629E-2</v>
      </c>
      <c r="J15" s="23">
        <v>2.5789473684210531</v>
      </c>
    </row>
    <row r="16" spans="1:10" x14ac:dyDescent="0.2">
      <c r="A16" t="s">
        <v>164</v>
      </c>
      <c r="B16" t="s">
        <v>165</v>
      </c>
      <c r="C16" t="s">
        <v>118</v>
      </c>
      <c r="D16">
        <v>18</v>
      </c>
      <c r="E16" s="23">
        <v>100</v>
      </c>
      <c r="F16">
        <v>43575</v>
      </c>
      <c r="G16">
        <v>1256</v>
      </c>
      <c r="H16" s="23">
        <v>2.882386689615605</v>
      </c>
      <c r="I16" s="24">
        <v>3.072222222222222E-2</v>
      </c>
      <c r="J16" s="23">
        <v>3</v>
      </c>
    </row>
    <row r="17" spans="1:10" x14ac:dyDescent="0.2">
      <c r="A17" t="s">
        <v>167</v>
      </c>
      <c r="B17" t="s">
        <v>168</v>
      </c>
      <c r="C17" t="s">
        <v>124</v>
      </c>
      <c r="D17">
        <v>17</v>
      </c>
      <c r="E17" s="23">
        <v>94.117647058823522</v>
      </c>
      <c r="F17">
        <v>43233</v>
      </c>
      <c r="G17">
        <v>2052</v>
      </c>
      <c r="H17" s="23">
        <v>4.7463742974116991</v>
      </c>
      <c r="I17" s="24">
        <v>2.4647058823529411E-2</v>
      </c>
      <c r="J17" s="23">
        <v>2.6470588235294121</v>
      </c>
    </row>
    <row r="18" spans="1:10" x14ac:dyDescent="0.2">
      <c r="A18" t="s">
        <v>169</v>
      </c>
      <c r="B18" t="s">
        <v>170</v>
      </c>
      <c r="C18" t="s">
        <v>135</v>
      </c>
      <c r="D18">
        <v>13</v>
      </c>
      <c r="E18" s="23">
        <v>92.307692307692307</v>
      </c>
      <c r="F18">
        <v>35054</v>
      </c>
      <c r="G18">
        <v>2477</v>
      </c>
      <c r="H18" s="23">
        <v>7.0662406572716394</v>
      </c>
      <c r="I18" s="24">
        <v>-8.3846153846153845E-3</v>
      </c>
      <c r="J18" s="23">
        <v>3.7692307692307692</v>
      </c>
    </row>
    <row r="19" spans="1:10" x14ac:dyDescent="0.2">
      <c r="A19" t="s">
        <v>171</v>
      </c>
      <c r="B19" t="s">
        <v>172</v>
      </c>
      <c r="C19" t="s">
        <v>173</v>
      </c>
      <c r="D19">
        <v>10</v>
      </c>
      <c r="E19" s="23">
        <v>100</v>
      </c>
      <c r="F19">
        <v>18803</v>
      </c>
      <c r="G19">
        <v>1663</v>
      </c>
      <c r="H19" s="23">
        <v>8.8443333510610014</v>
      </c>
      <c r="I19" s="24">
        <v>2.7799999999999998E-2</v>
      </c>
      <c r="J19" s="23">
        <v>3.5</v>
      </c>
    </row>
    <row r="20" spans="1:10" x14ac:dyDescent="0.2">
      <c r="A20" t="s">
        <v>175</v>
      </c>
      <c r="B20" t="s">
        <v>151</v>
      </c>
      <c r="C20" t="s">
        <v>173</v>
      </c>
      <c r="D20">
        <v>16</v>
      </c>
      <c r="E20" s="23">
        <v>100</v>
      </c>
      <c r="F20">
        <v>48699</v>
      </c>
      <c r="G20">
        <v>3883</v>
      </c>
      <c r="H20" s="23">
        <v>7.9734696811022809</v>
      </c>
      <c r="I20" s="24">
        <v>3.3687500000000002E-2</v>
      </c>
      <c r="J20" s="23">
        <v>2.5</v>
      </c>
    </row>
    <row r="21" spans="1:10" x14ac:dyDescent="0.2">
      <c r="A21" t="s">
        <v>176</v>
      </c>
      <c r="B21" t="s">
        <v>177</v>
      </c>
      <c r="C21" t="s">
        <v>135</v>
      </c>
      <c r="D21">
        <v>12</v>
      </c>
      <c r="E21" s="23">
        <v>91.666666666666657</v>
      </c>
      <c r="F21">
        <v>29577</v>
      </c>
      <c r="G21">
        <v>355</v>
      </c>
      <c r="H21" s="23">
        <v>1.200256956418839</v>
      </c>
      <c r="I21" s="24">
        <v>1.783333333333333E-2</v>
      </c>
      <c r="J21" s="23">
        <v>3.083333333333333</v>
      </c>
    </row>
    <row r="22" spans="1:10" x14ac:dyDescent="0.2">
      <c r="A22" t="s">
        <v>179</v>
      </c>
      <c r="B22" t="s">
        <v>180</v>
      </c>
      <c r="C22" t="s">
        <v>118</v>
      </c>
      <c r="D22">
        <v>23</v>
      </c>
      <c r="E22" s="23">
        <v>95.652173913043484</v>
      </c>
      <c r="F22">
        <v>52990</v>
      </c>
      <c r="G22">
        <v>4442</v>
      </c>
      <c r="H22" s="23">
        <v>8.3827137195697308</v>
      </c>
      <c r="I22" s="24">
        <v>1.7391304347826091E-2</v>
      </c>
      <c r="J22" s="23">
        <v>2.9130434782608701</v>
      </c>
    </row>
    <row r="23" spans="1:10" x14ac:dyDescent="0.2">
      <c r="A23" t="s">
        <v>181</v>
      </c>
      <c r="B23" t="s">
        <v>177</v>
      </c>
      <c r="C23" t="s">
        <v>132</v>
      </c>
      <c r="D23">
        <v>24</v>
      </c>
      <c r="E23" s="23">
        <v>91.666666666666657</v>
      </c>
      <c r="F23">
        <v>54297</v>
      </c>
      <c r="G23">
        <v>3169</v>
      </c>
      <c r="H23" s="23">
        <v>5.8364182183177711</v>
      </c>
      <c r="I23" s="24">
        <v>9.3333333333333324E-3</v>
      </c>
      <c r="J23" s="23">
        <v>3.041666666666667</v>
      </c>
    </row>
    <row r="24" spans="1:10" x14ac:dyDescent="0.2">
      <c r="A24" t="s">
        <v>183</v>
      </c>
      <c r="B24" t="s">
        <v>184</v>
      </c>
      <c r="C24" t="s">
        <v>135</v>
      </c>
      <c r="D24">
        <v>12</v>
      </c>
      <c r="E24" s="23">
        <v>83.333333333333343</v>
      </c>
      <c r="F24">
        <v>31617</v>
      </c>
      <c r="G24">
        <v>1102</v>
      </c>
      <c r="H24" s="23">
        <v>3.4854666793180882</v>
      </c>
      <c r="I24" s="24">
        <v>4.1666666666666702E-4</v>
      </c>
      <c r="J24" s="23">
        <v>2.916666666666667</v>
      </c>
    </row>
    <row r="25" spans="1:10" x14ac:dyDescent="0.2">
      <c r="A25" t="s">
        <v>186</v>
      </c>
      <c r="B25" t="s">
        <v>187</v>
      </c>
      <c r="C25" t="s">
        <v>124</v>
      </c>
      <c r="D25">
        <v>12</v>
      </c>
      <c r="E25" s="23">
        <v>100</v>
      </c>
      <c r="F25">
        <v>32365</v>
      </c>
      <c r="G25">
        <v>3252</v>
      </c>
      <c r="H25" s="23">
        <v>10.04789124053762</v>
      </c>
      <c r="I25" s="24">
        <v>2.2749999999999999E-2</v>
      </c>
      <c r="J25" s="23">
        <v>3.166666666666667</v>
      </c>
    </row>
    <row r="26" spans="1:10" x14ac:dyDescent="0.2">
      <c r="A26" t="s">
        <v>189</v>
      </c>
      <c r="B26" t="s">
        <v>190</v>
      </c>
      <c r="C26" t="s">
        <v>135</v>
      </c>
      <c r="D26">
        <v>15</v>
      </c>
      <c r="E26" s="23">
        <v>86.666666666666671</v>
      </c>
      <c r="F26">
        <v>36822</v>
      </c>
      <c r="G26">
        <v>1756</v>
      </c>
      <c r="H26" s="23">
        <v>4.7688881646841574</v>
      </c>
      <c r="I26" s="24">
        <v>1.4266666666666671E-2</v>
      </c>
      <c r="J26" s="23">
        <v>1.9333333333333329</v>
      </c>
    </row>
    <row r="27" spans="1:10" x14ac:dyDescent="0.2">
      <c r="A27" t="s">
        <v>191</v>
      </c>
      <c r="B27" t="s">
        <v>192</v>
      </c>
      <c r="C27" t="s">
        <v>118</v>
      </c>
      <c r="D27">
        <v>7</v>
      </c>
      <c r="E27" s="23">
        <v>100</v>
      </c>
      <c r="F27">
        <v>18340</v>
      </c>
      <c r="G27">
        <v>1777</v>
      </c>
      <c r="H27" s="23">
        <v>9.6892039258451472</v>
      </c>
      <c r="I27" s="24">
        <v>-4.1428571428571426E-3</v>
      </c>
      <c r="J27" s="23">
        <v>2.714285714285714</v>
      </c>
    </row>
    <row r="28" spans="1:10" x14ac:dyDescent="0.2">
      <c r="A28" t="s">
        <v>193</v>
      </c>
      <c r="B28" t="s">
        <v>194</v>
      </c>
      <c r="C28" t="s">
        <v>173</v>
      </c>
      <c r="D28">
        <v>13</v>
      </c>
      <c r="E28" s="23">
        <v>84.615384615384613</v>
      </c>
      <c r="F28">
        <v>26118</v>
      </c>
      <c r="G28">
        <v>2301</v>
      </c>
      <c r="H28" s="23">
        <v>8.8100160808637717</v>
      </c>
      <c r="I28" s="24">
        <v>1.5461538461538461E-2</v>
      </c>
      <c r="J28" s="23">
        <v>3.0769230769230771</v>
      </c>
    </row>
    <row r="29" spans="1:10" x14ac:dyDescent="0.2">
      <c r="A29" t="s">
        <v>195</v>
      </c>
      <c r="B29" t="s">
        <v>196</v>
      </c>
      <c r="C29" t="s">
        <v>118</v>
      </c>
      <c r="D29">
        <v>12</v>
      </c>
      <c r="E29" s="23">
        <v>100</v>
      </c>
      <c r="F29">
        <v>25930</v>
      </c>
      <c r="G29">
        <v>1954</v>
      </c>
      <c r="H29" s="23">
        <v>7.535672965676822</v>
      </c>
      <c r="I29" s="24">
        <v>6.1666666666666684E-3</v>
      </c>
      <c r="J29" s="23">
        <v>2.833333333333333</v>
      </c>
    </row>
    <row r="30" spans="1:10" x14ac:dyDescent="0.2">
      <c r="A30" t="s">
        <v>197</v>
      </c>
      <c r="B30" t="s">
        <v>138</v>
      </c>
      <c r="C30" t="s">
        <v>173</v>
      </c>
      <c r="D30">
        <v>18</v>
      </c>
      <c r="E30" s="23">
        <v>94.444444444444443</v>
      </c>
      <c r="F30">
        <v>40584</v>
      </c>
      <c r="G30">
        <v>1778</v>
      </c>
      <c r="H30" s="23">
        <v>4.3810368618174653</v>
      </c>
      <c r="I30" s="24">
        <v>2.1722222222222219E-2</v>
      </c>
      <c r="J30" s="23">
        <v>2.5555555555555549</v>
      </c>
    </row>
    <row r="31" spans="1:10" x14ac:dyDescent="0.2">
      <c r="A31" t="s">
        <v>199</v>
      </c>
      <c r="B31" t="s">
        <v>156</v>
      </c>
      <c r="C31" t="s">
        <v>132</v>
      </c>
      <c r="D31">
        <v>16</v>
      </c>
      <c r="E31" s="23">
        <v>100</v>
      </c>
      <c r="F31">
        <v>39377</v>
      </c>
      <c r="G31">
        <v>1445</v>
      </c>
      <c r="H31" s="23">
        <v>3.6696548746730331</v>
      </c>
      <c r="I31" s="24">
        <v>1.525E-2</v>
      </c>
      <c r="J31" s="23">
        <v>2.375</v>
      </c>
    </row>
    <row r="32" spans="1:10" x14ac:dyDescent="0.2">
      <c r="A32" t="s">
        <v>200</v>
      </c>
      <c r="B32" t="s">
        <v>162</v>
      </c>
      <c r="C32" t="s">
        <v>118</v>
      </c>
      <c r="D32">
        <v>10</v>
      </c>
      <c r="E32" s="23">
        <v>90</v>
      </c>
      <c r="F32">
        <v>23315</v>
      </c>
      <c r="G32">
        <v>1467</v>
      </c>
      <c r="H32" s="23">
        <v>6.2920866395024646</v>
      </c>
      <c r="I32" s="24">
        <v>2.87E-2</v>
      </c>
      <c r="J32" s="23">
        <v>2.1</v>
      </c>
    </row>
    <row r="33" spans="1:10" x14ac:dyDescent="0.2">
      <c r="A33" t="s">
        <v>201</v>
      </c>
      <c r="B33" t="s">
        <v>202</v>
      </c>
      <c r="C33" t="s">
        <v>135</v>
      </c>
      <c r="D33">
        <v>21</v>
      </c>
      <c r="E33" s="23">
        <v>90.476190476190482</v>
      </c>
      <c r="F33">
        <v>41357</v>
      </c>
      <c r="G33">
        <v>4203</v>
      </c>
      <c r="H33" s="23">
        <v>10.162729404937499</v>
      </c>
      <c r="I33" s="24">
        <v>2.0190476190476189E-2</v>
      </c>
      <c r="J33" s="23">
        <v>2.9047619047619051</v>
      </c>
    </row>
    <row r="34" spans="1:10" x14ac:dyDescent="0.2">
      <c r="A34" t="s">
        <v>203</v>
      </c>
      <c r="B34" t="s">
        <v>204</v>
      </c>
      <c r="C34" t="s">
        <v>132</v>
      </c>
      <c r="D34">
        <v>15</v>
      </c>
      <c r="E34" s="23">
        <v>93.333333333333329</v>
      </c>
      <c r="F34">
        <v>34857</v>
      </c>
      <c r="G34">
        <v>351</v>
      </c>
      <c r="H34" s="23">
        <v>1.0069713400464759</v>
      </c>
      <c r="I34" s="24">
        <v>2.599999999999999E-3</v>
      </c>
      <c r="J34" s="23">
        <v>2.8666666666666671</v>
      </c>
    </row>
    <row r="35" spans="1:10" x14ac:dyDescent="0.2">
      <c r="A35" t="s">
        <v>205</v>
      </c>
      <c r="B35" t="s">
        <v>206</v>
      </c>
      <c r="C35" t="s">
        <v>118</v>
      </c>
      <c r="D35">
        <v>12</v>
      </c>
      <c r="E35" s="23">
        <v>91.666666666666657</v>
      </c>
      <c r="F35">
        <v>36542</v>
      </c>
      <c r="G35">
        <v>767</v>
      </c>
      <c r="H35" s="23">
        <v>2.098954627551858</v>
      </c>
      <c r="I35" s="24">
        <v>2.5833333333333329E-3</v>
      </c>
      <c r="J35" s="23">
        <v>2.75</v>
      </c>
    </row>
    <row r="36" spans="1:10" x14ac:dyDescent="0.2">
      <c r="A36" t="s">
        <v>207</v>
      </c>
      <c r="B36" t="s">
        <v>153</v>
      </c>
      <c r="C36" t="s">
        <v>118</v>
      </c>
      <c r="D36">
        <v>21</v>
      </c>
      <c r="E36" s="23">
        <v>85.714285714285708</v>
      </c>
      <c r="F36">
        <v>43635</v>
      </c>
      <c r="G36">
        <v>2300</v>
      </c>
      <c r="H36" s="23">
        <v>5.2709980520224589</v>
      </c>
      <c r="I36" s="24">
        <v>5.0952380952380954E-3</v>
      </c>
      <c r="J36" s="23">
        <v>2.952380952380953</v>
      </c>
    </row>
    <row r="37" spans="1:10" x14ac:dyDescent="0.2">
      <c r="A37" t="s">
        <v>208</v>
      </c>
      <c r="B37" t="s">
        <v>148</v>
      </c>
      <c r="C37" t="s">
        <v>118</v>
      </c>
      <c r="D37">
        <v>16</v>
      </c>
      <c r="E37" s="23">
        <v>100</v>
      </c>
      <c r="F37">
        <v>38407</v>
      </c>
      <c r="G37">
        <v>3107</v>
      </c>
      <c r="H37" s="23">
        <v>8.0896711536959405</v>
      </c>
      <c r="I37" s="24">
        <v>1.40625E-2</v>
      </c>
      <c r="J37" s="23">
        <v>2.1875</v>
      </c>
    </row>
    <row r="38" spans="1:10" x14ac:dyDescent="0.2">
      <c r="A38" t="s">
        <v>210</v>
      </c>
      <c r="B38" t="s">
        <v>211</v>
      </c>
      <c r="C38" t="s">
        <v>132</v>
      </c>
      <c r="D38">
        <v>20</v>
      </c>
      <c r="E38" s="23">
        <v>95</v>
      </c>
      <c r="F38">
        <v>39236</v>
      </c>
      <c r="G38">
        <v>3230</v>
      </c>
      <c r="H38" s="23">
        <v>8.2322357019064132</v>
      </c>
      <c r="I38" s="24">
        <v>1.21E-2</v>
      </c>
      <c r="J38" s="23">
        <v>2.9</v>
      </c>
    </row>
    <row r="39" spans="1:10" x14ac:dyDescent="0.2">
      <c r="A39" t="s">
        <v>212</v>
      </c>
      <c r="B39" t="s">
        <v>204</v>
      </c>
      <c r="C39" t="s">
        <v>118</v>
      </c>
      <c r="D39">
        <v>11</v>
      </c>
      <c r="E39" s="23">
        <v>100</v>
      </c>
      <c r="F39">
        <v>32293</v>
      </c>
      <c r="G39">
        <v>1622</v>
      </c>
      <c r="H39" s="23">
        <v>5.0227603505403646</v>
      </c>
      <c r="I39" s="24">
        <v>1.145454545454546E-2</v>
      </c>
      <c r="J39" s="23">
        <v>3.2727272727272729</v>
      </c>
    </row>
    <row r="40" spans="1:10" x14ac:dyDescent="0.2">
      <c r="A40" t="s">
        <v>214</v>
      </c>
      <c r="B40" t="s">
        <v>215</v>
      </c>
      <c r="C40" t="s">
        <v>135</v>
      </c>
      <c r="D40">
        <v>16</v>
      </c>
      <c r="E40" s="23">
        <v>87.5</v>
      </c>
      <c r="F40">
        <v>35254</v>
      </c>
      <c r="G40">
        <v>1484</v>
      </c>
      <c r="H40" s="23">
        <v>4.2094514097691036</v>
      </c>
      <c r="I40" s="24">
        <v>9.1249999999999994E-3</v>
      </c>
      <c r="J40" s="23">
        <v>3.1875</v>
      </c>
    </row>
    <row r="41" spans="1:10" x14ac:dyDescent="0.2">
      <c r="A41" t="s">
        <v>216</v>
      </c>
      <c r="B41" t="s">
        <v>217</v>
      </c>
      <c r="C41" t="s">
        <v>124</v>
      </c>
      <c r="D41">
        <v>19</v>
      </c>
      <c r="E41" s="23">
        <v>94.73684210526315</v>
      </c>
      <c r="F41">
        <v>50738</v>
      </c>
      <c r="G41">
        <v>2754</v>
      </c>
      <c r="H41" s="23">
        <v>5.4278844258740984</v>
      </c>
      <c r="I41" s="24">
        <v>2.3842105263157901E-2</v>
      </c>
      <c r="J41" s="23">
        <v>3.263157894736842</v>
      </c>
    </row>
  </sheetData>
  <autoFilter ref="A1:J41" xr:uid="{00000000-0009-0000-0000-000008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Instructions</vt:lpstr>
      <vt:lpstr>Task</vt:lpstr>
      <vt:lpstr>Theme and Rubrics</vt:lpstr>
      <vt:lpstr>Task Brief</vt:lpstr>
      <vt:lpstr>Suppliers</vt:lpstr>
      <vt:lpstr>Purchase Orders</vt:lpstr>
      <vt:lpstr>Data Dictionary</vt:lpstr>
      <vt:lpstr>AI Use Log</vt:lpstr>
      <vt:lpstr>Baseline 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Hemant Khiratkar</cp:lastModifiedBy>
  <cp:revision>0</cp:revision>
  <dcterms:created xsi:type="dcterms:W3CDTF">2026-09-25T16:15:26Z</dcterms:created>
  <dcterms:modified xsi:type="dcterms:W3CDTF">2026-10-03T22:57:05Z</dcterms:modified>
  <dc:language>en-US</dc:language>
</cp:coreProperties>
</file>