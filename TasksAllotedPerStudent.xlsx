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Tasks" sheetId="2" r:id="rId5"/>
    <sheet state="visible" name="Theme Summary" sheetId="3" r:id="rId6"/>
    <sheet state="visible" name="Rubric (30 marks)" sheetId="4" r:id="rId7"/>
    <sheet state="visible" name="Marks Sheet" sheetId="5" r:id="rId8"/>
  </sheets>
  <definedNames>
    <definedName hidden="1" localSheetId="1" name="_xlnm._FilterDatabase">Tasks!$C$1:$J$81</definedName>
  </definedNames>
  <calcPr/>
  <extLst>
    <ext uri="GoogleSheetsCustomDataVersion2">
      <go:sheetsCustomData xmlns:go="http://customooxmlschemas.google.com/" r:id="rId9" roundtripDataChecksum="jH2Q2z2GuCvaD6Oq03s3UCdkMqlxcmz4XO1JjmcyOMw="/>
    </ext>
  </extLst>
</workbook>
</file>

<file path=xl/sharedStrings.xml><?xml version="1.0" encoding="utf-8"?>
<sst xmlns="http://schemas.openxmlformats.org/spreadsheetml/2006/main" count="568" uniqueCount="462">
  <si>
    <t>Projects for MBA Students (30 marks each)</t>
  </si>
  <si>
    <t>Number</t>
  </si>
  <si>
    <t>Theme</t>
  </si>
  <si>
    <t>Criterion</t>
  </si>
  <si>
    <t>Purpose</t>
  </si>
  <si>
    <t>Number of tasks</t>
  </si>
  <si>
    <t>A. No-code apps &amp; dashboards</t>
  </si>
  <si>
    <t>Each task asks students to build a working tool, bot, app, automation or analysis using only free LLM tools, then verify it and turn the result into a business recommendation.</t>
  </si>
  <si>
    <t>Allocation</t>
  </si>
  <si>
    <t>One task per student (or pair, if allowed). Allot by roll number or lottery so no two students in a section share a task.</t>
  </si>
  <si>
    <t>Files</t>
  </si>
  <si>
    <t>Every task has its own Excel file in the 'Task Files' folder: Task Brief (with rubric), ready-to-use dataset sheet(s), Data Dictionary and an AI Use Log template.</t>
  </si>
  <si>
    <t>Name</t>
  </si>
  <si>
    <t>Data</t>
  </si>
  <si>
    <t>All datasets are synthetic, generated for teaching, and free of real personal data. Companies, people and prices are fictional. Some files contain a 'Gold Labels (evaluation)' sheet that students must not give to the AI - it is for measuring accuracy.</t>
  </si>
  <si>
    <t>Task ID</t>
  </si>
  <si>
    <t>Free tools</t>
  </si>
  <si>
    <t>ChatGPT, Gemini (incl. Canvas and Gems), Claude, Microsoft Copilot, NotebookLM, Google AI Studio, Google Colab, Google Sheets + Apps Script, Canva, and free tiers of Make / Zapier / n8n. Free-tier limits change; students should note the plan they used.</t>
  </si>
  <si>
    <t>Expected effort</t>
  </si>
  <si>
    <t>Marks</t>
  </si>
  <si>
    <t>10-15 hours over 2-3 weeks.</t>
  </si>
  <si>
    <t>Task</t>
  </si>
  <si>
    <t>What is assessed</t>
  </si>
  <si>
    <t>Evaluation</t>
  </si>
  <si>
    <t>What students do</t>
  </si>
  <si>
    <t>Excellent</t>
  </si>
  <si>
    <t>Use the 'Rubric (30 marks)' sheet. Check at least 3 entries in each AI Use Log, ask each student to demo the build live for 3-5 minutes, and spot-check 3 numbers or labels in their output.</t>
  </si>
  <si>
    <t>Deliverables</t>
  </si>
  <si>
    <t>Good</t>
  </si>
  <si>
    <t>Penalties (suggested)</t>
  </si>
  <si>
    <t>Datasets needed</t>
  </si>
  <si>
    <t>No AI Use Log: total capped at 15. Build does not run and no recording: criterion 1 capped at 2. Gold labels given to the AI: criterion 2 = 0. Copied work: referral under academic integrity policy.</t>
  </si>
  <si>
    <t>Excel file</t>
  </si>
  <si>
    <t>Fair</t>
  </si>
  <si>
    <t>Suggested free tools</t>
  </si>
  <si>
    <t>Poor</t>
  </si>
  <si>
    <t>GitHubLink</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</si>
  <si>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</si>
  <si>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</si>
  <si>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</si>
  <si>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</si>
  <si>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</si>
  <si>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</si>
  <si>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</si>
  <si>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</si>
  <si>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</si>
  <si>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</si>
  <si>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</si>
  <si>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</si>
  <si>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</si>
  <si>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Acharya Samyak Laxmikantbhai</t>
  </si>
  <si>
    <t>Clear, structured prompts; at least 3 documented improvement rounds with reasons</t>
  </si>
  <si>
    <t>Strong iteration (5)</t>
  </si>
  <si>
    <t>Some iteration (3-4)</t>
  </si>
  <si>
    <t>T01</t>
  </si>
  <si>
    <t>Mostly one-shot (2)</t>
  </si>
  <si>
    <t>No log (0-1)</t>
  </si>
  <si>
    <t>4. Business insight and recommendation</t>
  </si>
  <si>
    <t>Sales performance dashboard app</t>
  </si>
  <si>
    <t>Specific, data-backed recommendation for the stated manager or customer</t>
  </si>
  <si>
    <t>Actionable and quantified (6)</t>
  </si>
  <si>
    <t>1. Upload the sales file to an LLM and ask it to build an interactive web dashboard (filters for month, region, channel, category).
2. Show KPIs: revenue, units, average order value, gross margin %, top 10 products, month-on-month growth.
3. Iterate at least 5 times on the prompt to fix layout and logic errors.
4. Re-compute every KPI in an Excel pivot and reconcile differences with the dashboard.
5. Write 5 insights a regional sales head could act on.</t>
  </si>
  <si>
    <t>Sound but generic (4-5)</t>
  </si>
  <si>
    <t>Working dashboard (link or HTML file); KPI reconciliation sheet; 1-page insight note; AI-use log</t>
  </si>
  <si>
    <t>Descriptive only (2-3)</t>
  </si>
  <si>
    <t>Missing (0-1)</t>
  </si>
  <si>
    <t>Synthetic D2C sales transactions, FY2025-26 (2,000 orders) — sheets: Sales (2,000 rows)</t>
  </si>
  <si>
    <t>5. Documentation and reflection</t>
  </si>
  <si>
    <t>T01_Sales_performance_dashboard_app.xlsx</t>
  </si>
  <si>
    <t>Complete AI-use log, limitations, responsible-AI notes and personal reflection</t>
  </si>
  <si>
    <t>Gemini Canvas, ChatGPT Canvas or Claude (free) to generate the app; Excel / Google Sheets to verify numbers</t>
  </si>
  <si>
    <t>Complete and honest (4)</t>
  </si>
  <si>
    <t>Mostly complete (3)</t>
  </si>
  <si>
    <t>Thin (2)</t>
  </si>
  <si>
    <t>Total</t>
  </si>
  <si>
    <t>Aditya Atul Jewalikar</t>
  </si>
  <si>
    <t>T02</t>
  </si>
  <si>
    <t>B. Chatbots &amp; AI assistants</t>
  </si>
  <si>
    <t>Marketing ROI calculator</t>
  </si>
  <si>
    <t>1. Ask an LLM to build an app that calculates CTR, conversion rate, CPC, CAC and ROAS for each campaign.
2. Add a what-if slider that moves budget between channels and shows projected revenue.
3. Check 10 campaigns by hand in Excel.
4. Recommend how to re-split next quarter's budget.</t>
  </si>
  <si>
    <t>ROI calculator app; verification sheet; budget reallocation memo; AI-use log</t>
  </si>
  <si>
    <t>60 digital campaigns with spend, impressions, clicks, conversions — sheets: Campaigns (60 rows)</t>
  </si>
  <si>
    <t>T02_Marketing_ROI_calculator.xlsx</t>
  </si>
  <si>
    <t>Akshita Mundra</t>
  </si>
  <si>
    <t>T03</t>
  </si>
  <si>
    <t>Inventory reorder alert tool</t>
  </si>
  <si>
    <t>1. Build an app that computes safety stock, reorder point and EOQ for each SKU (let the LLM explain each formula first).
2. Flag SKUs below reorder point and estimate days of stock left.
3. Verify 10 SKUs manually.
4. Draft a purchase list for the warehouse manager.</t>
  </si>
  <si>
    <t>Reorder app; formula explanation; purchase list; AI-use log</t>
  </si>
  <si>
    <t>150 SKUs with stock, demand, lead time, costs — sheets: Inventory (150 rows)</t>
  </si>
  <si>
    <t>T03_Inventory_reorder_alert_tool.xlsx</t>
  </si>
  <si>
    <t>C. AI text analytics</t>
  </si>
  <si>
    <t>Anamika Gupta</t>
  </si>
  <si>
    <t>T04</t>
  </si>
  <si>
    <t>Loan EMI and eligibility calculator</t>
  </si>
  <si>
    <t>1. Build a calculator for EMI and FOIR (EMIs as % of income) with an eligibility rule (FOIR &lt;= 50%, credit score &gt;= 700).
2. Run all 500 applications through your rule and compare with the actual default flag.
3. Tune the rule to reduce defaults without rejecting too many good applicants.
4. Explain the trade-off to a credit manager.</t>
  </si>
  <si>
    <t>Calculator app; rule-testing sheet; 1-page credit policy note; AI-use log</t>
  </si>
  <si>
    <t>500 loan applications with income, EMIs, credit score and 24-month default outcome — sheets: Applications (500 rows)</t>
  </si>
  <si>
    <t>T04_Loan_EMI_and_eligibility_calculator.xlsx</t>
  </si>
  <si>
    <t>Anjali Saxena</t>
  </si>
  <si>
    <t>D. Marketing &amp; content builds</t>
  </si>
  <si>
    <t>T05</t>
  </si>
  <si>
    <t>HR attrition insights dashboard</t>
  </si>
  <si>
    <t>1. Build a dashboard of attrition by department, level, tenure, overtime and engagement.
2. Ask the LLM for hypotheses, then test each with a pivot table.
3. Identify the 3 strongest drivers.
4. Propose retention actions with rough cost.</t>
  </si>
  <si>
    <t>Dashboard; hypothesis-test table; retention plan; AI-use log</t>
  </si>
  <si>
    <t>800 employees with engagement, overtime, promotion history and exit flag — sheets: Employees (800 rows)</t>
  </si>
  <si>
    <t>T05_HR_attrition_insights_dashboard.xlsx</t>
  </si>
  <si>
    <t>Arpit Gupta</t>
  </si>
  <si>
    <t>T06</t>
  </si>
  <si>
    <t>E. Finance &amp; operations automation</t>
  </si>
  <si>
    <t>Expense claim policy checker</t>
  </si>
  <si>
    <t>1. Convert the travel policy rules into checks with the help of an LLM.
2. Build a tool that flags each claim as compliant or violation, with the rule broken.
3. Manually audit 30 flagged claims to measure false alarms.
4. Summarise the top violation types for the CFO.</t>
  </si>
  <si>
    <t>Checker tool; audit sheet; CFO summary; AI-use log</t>
  </si>
  <si>
    <t>400 expense claims + 15 travel policy rules — sheets: Claims (400 rows); Policy Rules (15 rows)</t>
  </si>
  <si>
    <t>T06_Expense_claim_policy_checker.xlsx</t>
  </si>
  <si>
    <t>Arya</t>
  </si>
  <si>
    <t>T07</t>
  </si>
  <si>
    <t>Pricing simulator</t>
  </si>
  <si>
    <t>1. Use an LLM to estimate price elasticity for each product from the weekly data (log-log regression explained in plain language).
2. Build a simulator: change price and see predicted units and revenue.
3. Find the revenue-maximising price for each product.
4. Discuss competitor and promotion effects.</t>
  </si>
  <si>
    <t>Simulator app; elasticity estimates; pricing recommendation; AI-use log</t>
  </si>
  <si>
    <t>F. Analytics tools built with AI-written code</t>
  </si>
  <si>
    <t>3 products x 104 weeks of price, competitor price, promotions, units — sheets: Weekly Price-Demand (312 rows)</t>
  </si>
  <si>
    <t>T07_Pricing_simulator.xlsx</t>
  </si>
  <si>
    <t>Atal Ayush Ganesh</t>
  </si>
  <si>
    <t>T08</t>
  </si>
  <si>
    <t>Startup unit-economics calculator</t>
  </si>
  <si>
    <t>1. Build an app computing contribution margin, break-even units, CAC payback, LTV and months of runway.
2. Run it for all 10 startups.
3. Rank which ones an angel investor should meet.
4. Stress-test with 20% lower growth.</t>
  </si>
  <si>
    <t>Calculator app; ranking table; investor memo; AI-use log</t>
  </si>
  <si>
    <t>10 fictional startups with price, costs, growth, CAC, churn, funding ask — sheets: Startups (10 rows)</t>
  </si>
  <si>
    <t>T08_Startup_unit_economics_calculator.xlsx</t>
  </si>
  <si>
    <t>Bandari Vedasvi</t>
  </si>
  <si>
    <t>T09</t>
  </si>
  <si>
    <t>Customer RFM segmentation tool</t>
  </si>
  <si>
    <t>1. Ask an LLM to write code that computes recency, frequency and monetary scores per customer.
2. Create segments (Champions, Loyal, At Risk, Lost, etc.).
3. Build a simple app to look up any customer's segment.
4. Design one campaign per segment.</t>
  </si>
  <si>
    <t>Notebook + app; segment table; campaign plan; AI-use log</t>
  </si>
  <si>
    <t>3,000 orders linked to 450 customers — sheets: Sales (3,000 rows)</t>
  </si>
  <si>
    <t>T09_Customer_RFM_segmentation_tool.xlsx</t>
  </si>
  <si>
    <t>Google Colab with its built-in Gemini assistant, or any free chatbot, to write Python; publish on Streamlit Community Cloud or Hugging Face Spaces (free)</t>
  </si>
  <si>
    <t>Bibaswan Kundu</t>
  </si>
  <si>
    <t>T10</t>
  </si>
  <si>
    <t>Regional sales forecaster</t>
  </si>
  <si>
    <t>1. Use an LLM to write forecasting code (moving average, exponential smoothing, simple regression).
2. Forecast the next 6 months by region.
3. Back-test on the last 6 known months and report MAPE.
4. Present a forecast chart for the sales review.</t>
  </si>
  <si>
    <t>Forecast notebook/app; accuracy table; forecast chart; AI-use log</t>
  </si>
  <si>
    <t>36 months of net sales by 4 regions — sheets: Monthly Sales (144 rows)</t>
  </si>
  <si>
    <t>T10_Regional_sales_forecaster.xlsx</t>
  </si>
  <si>
    <t>Chinta Karthikeya Santosh Reddy</t>
  </si>
  <si>
    <t>T11</t>
  </si>
  <si>
    <t>Hotel revenue dashboard</t>
  </si>
  <si>
    <t>1. Build a dashboard of occupancy, ADR, RevPAR, cancellation rate and net revenue after OTA commission.
2. Compare channels on net revenue per booking.
3. Ask the LLM to propose an overbooking and channel strategy; test it on the data.
4. Recommend actions for the next season.</t>
  </si>
  <si>
    <t>Dashboard; channel profitability table; strategy note; AI-use log</t>
  </si>
  <si>
    <t>1,500 bookings for a 120-room fictional hotel — sheets: Bookings (1,500 rows); Hotel Info (3 rows)</t>
  </si>
  <si>
    <t>T11_Hotel_revenue_dashboard.xlsx</t>
  </si>
  <si>
    <t>Dheemhan Saravanan</t>
  </si>
  <si>
    <t>T12</t>
  </si>
  <si>
    <t>Delivery performance tracker</t>
  </si>
  <si>
    <t>1. Build a tracker of on-time %, average delay, cost per kg and damage/RTO rate by carrier and region.
2. Rank carriers on a weighted scorecard.
3. Estimate savings from shifting volume to the best carriers.
4. Draft a carrier review email.</t>
  </si>
  <si>
    <t>Tracker app; carrier scorecard; savings estimate; AI-use log</t>
  </si>
  <si>
    <t>1,200 shipments with carrier, distance, dates, freight cost, status — sheets: Shipments (1,200 rows)</t>
  </si>
  <si>
    <t>T12_Delivery_performance_tracker.xlsx</t>
  </si>
  <si>
    <t>Dhruv Girish Juneja</t>
  </si>
  <si>
    <t>T13</t>
  </si>
  <si>
    <t>Portfolio tracker with AI commentary</t>
  </si>
  <si>
    <t>1. Build an app showing returns, volatility and drawdown for 10 fictional stocks and the index.
2. Let users build a portfolio and see its value over time.
3. Add an LLM-written weekly market commentary and check every number it quotes.
4. Add a clear 'educational, not investment advice' notice.</t>
  </si>
  <si>
    <t>Tracker app; commentary with fact-check; AI-use log</t>
  </si>
  <si>
    <t>250 trading days of prices for 10 fictional companies + index — sheets: Prices (2,500 rows); Market Index (250 rows)</t>
  </si>
  <si>
    <t>T13_Portfolio_tracker_with_AI_commentary.xlsx</t>
  </si>
  <si>
    <t>Divya Ravindra Chavan</t>
  </si>
  <si>
    <t>T14</t>
  </si>
  <si>
    <t>Flat price estimator</t>
  </si>
  <si>
    <t>1. Ask an LLM to build a regression model predicting price from area, BHK, locality, age and amenities.
2. Report accuracy on a test split.
3. Build a web form that returns an estimated price range.
4. Explain which factors matter most to a home buyer.</t>
  </si>
  <si>
    <t>Model notebook; estimator app; explainer; AI-use log</t>
  </si>
  <si>
    <t>600 fictional flat listings in Pune, Nashik and Nagpur — sheets: Listings (600 rows)</t>
  </si>
  <si>
    <t>T14_Flat_price_estimator.xlsx</t>
  </si>
  <si>
    <t>Divyanshi Verma</t>
  </si>
  <si>
    <t>T15</t>
  </si>
  <si>
    <t>Factory energy analyser</t>
  </si>
  <si>
    <t>1. Build a dashboard of energy use per unit produced, solar share, and temperature effect.
2. Find wasteful days (high kWh on non-production days).
3. Ask the LLM for 5 savings ideas and estimate each one's rupee impact.
4. Present a 1-page energy plan.</t>
  </si>
  <si>
    <t>Dashboard; savings table; energy plan; AI-use log</t>
  </si>
  <si>
    <t>365 days of grid and solar kWh, production and temperature — sheets: Daily Energy (365 rows)</t>
  </si>
  <si>
    <t>T15_Factory_energy_analyser.xlsx</t>
  </si>
  <si>
    <t>Gasinga Angel</t>
  </si>
  <si>
    <t>T16</t>
  </si>
  <si>
    <t>Retail store footfall dashboard</t>
  </si>
  <si>
    <t>1. Build a dashboard of footfall, conversion, average bill and sales per staff by store.
2. Compare weekdays vs weekends and promotion days.
3. Find under-staffed and over-staffed stores.
4. Recommend staffing changes.</t>
  </si>
  <si>
    <t>Dashboard; staffing analysis; recommendation; AI-use log</t>
  </si>
  <si>
    <t>10 stores x 180 days of footfall, transactions, sales and staffing — sheets: Store Daily (1,800 rows)</t>
  </si>
  <si>
    <t>T16_Retail_store_footfall_dashboard.xlsx</t>
  </si>
  <si>
    <t>Hemang Shrikant Kubde</t>
  </si>
  <si>
    <t>T17</t>
  </si>
  <si>
    <t>Insurance claim red-flag checker</t>
  </si>
  <si>
    <t>1. Ask an LLM to list common fraud red flags for motor and health claims.
2. Turn them into a scoring rule and build a checker.
3. Measure how many confirmed frauds your rule catches (use the gold label sheet only at the end).
4. Discuss fairness and false-positive cost.</t>
  </si>
  <si>
    <t>Checker tool; detection results; fairness note; AI-use log</t>
  </si>
  <si>
    <t>800 insurance claims + hidden fraud labels for evaluation — sheets: Claims (800 rows); Gold Labels (evaluation) (800 rows)</t>
  </si>
  <si>
    <t>T17_Insurance_claim_red_flag_checker.xlsx</t>
  </si>
  <si>
    <t>Hemant Khiratkar</t>
  </si>
  <si>
    <t>T18</t>
  </si>
  <si>
    <t>Supplier scorecard app</t>
  </si>
  <si>
    <t>1. Build a scorecard of on-time delivery, rejection rate, price change and responsiveness per supplier.
2. Let the user change the weights.
3. Classify suppliers as Strategic, Develop, Maintain or Exit.
4. Draft feedback letters to 2 poor performers.</t>
  </si>
  <si>
    <t>Scorecard app; supplier classification; 2 letters; AI-use log</t>
  </si>
  <si>
    <t>40 suppliers + 600 purchase orders — sheets: Suppliers (40 rows); Purchase Orders (600 rows)</t>
  </si>
  <si>
    <t>T18_Supplier_scorecard_app.xlsx</t>
  </si>
  <si>
    <t>Isha Shaw</t>
  </si>
  <si>
    <t>T19</t>
  </si>
  <si>
    <t>Event analytics and check-in tool</t>
  </si>
  <si>
    <t>1. Build a dashboard of registrations over time, source channel, no-show rate and NPS.
2. Add a check-in search screen by name or ID.
3. Find which channels bring attendees who actually show up.
4. Plan the marketing mix for next year's event.</t>
  </si>
  <si>
    <t>Dashboard + check-in screen; channel analysis; plan; AI-use log</t>
  </si>
  <si>
    <t>500 registrations for a fictional business summit — sheets: Registrations (500 rows); Event Info (4 rows)</t>
  </si>
  <si>
    <t>T19_Event_analytics_and_check_in_tool.xlsx</t>
  </si>
  <si>
    <t>Jayani Bindal</t>
  </si>
  <si>
    <t>T20</t>
  </si>
  <si>
    <t>ESG reporting dashboard</t>
  </si>
  <si>
    <t>1. Build a dashboard of emissions, renewable share, water, waste and safety by plant and quarter.
2. Ask an LLM which BRSR-style indicators these map to, and verify against the SEBI BRSR format.
3. Identify best and worst plants.
4. Write a draft ESG highlights page.</t>
  </si>
  <si>
    <t>Dashboard; indicator mapping; ESG highlights page; AI-use log</t>
  </si>
  <si>
    <t>5 plants x 8 quarters of ESG metrics — sheets: Plant ESG Quarterly (40 rows)</t>
  </si>
  <si>
    <t>T20_ESG_reporting_dashboard.xlsx</t>
  </si>
  <si>
    <t>Juneja Devarsh Adesh</t>
  </si>
  <si>
    <t>T21</t>
  </si>
  <si>
    <t>Bank FAQ chatbot</t>
  </si>
  <si>
    <t>1. Load the knowledge base into your bot and write system instructions (tone, never ask for OTP, decline out-of-scope).
2. Test with the 20 test questions and fill in the result columns.
3. Improve instructions and re-test until accuracy is above 85%.
4. Add 10 new test questions of your own.</t>
  </si>
  <si>
    <t>Bot link or screen recording; completed test sheet (2 rounds); system prompt; AI-use log</t>
  </si>
  <si>
    <t>36 FAQ entries for fictional Nimbus Bank + 20 test questions — sheets: Knowledge Base (36 rows); Test Questions (20 rows)</t>
  </si>
  <si>
    <t>Marks entry - yellow cells are for the evaluator; total and grade calculate automatically.</t>
  </si>
  <si>
    <t>T21_Bank_FAQ_chatbot.xlsx</t>
  </si>
  <si>
    <t>Gemini Gems, NotebookLM, Google AI Studio or any free chatbot builder; test in the free chat apps</t>
  </si>
  <si>
    <t>Kabir Verma</t>
  </si>
  <si>
    <t>T22</t>
  </si>
  <si>
    <t>Roll no</t>
  </si>
  <si>
    <t>College admissions helpdesk bot</t>
  </si>
  <si>
    <t>Student name</t>
  </si>
  <si>
    <t>1. Build a bot from the admissions knowledge base.
2. Make it ask a follow-up question when the query is unclear.
3. Test with the 15 questions, including tricky and out-of-scope ones.
4. Measure accuracy and write a hand-off rule to a human counsellor.</t>
  </si>
  <si>
    <t>Bot; test sheet; hand-off rules; AI-use log</t>
  </si>
  <si>
    <t>27 FAQ entries for a fictional business school + 15 test questions — sheets: Knowledge Base (27 rows); Test Questions (15 rows)</t>
  </si>
  <si>
    <t>1. Working build (8)</t>
  </si>
  <si>
    <t>T22_College_admissions_helpdesk_bot.xlsx</t>
  </si>
  <si>
    <t>2. Correctness (7)</t>
  </si>
  <si>
    <t>Karmarkar Pratham Premnath</t>
  </si>
  <si>
    <t>3. Prompting (5)</t>
  </si>
  <si>
    <t>T23</t>
  </si>
  <si>
    <t>4. Insight (6)</t>
  </si>
  <si>
    <t>HR policy assistant</t>
  </si>
  <si>
    <t>5. Documentation (4)</t>
  </si>
  <si>
    <t>1. Upload the policy sections to NotebookLM or a Gem.
2. Require the bot to quote the section number it used.
3. Test with the 12 questions and check each citation.
4. Write a disclaimer and escalation path for sensitive topics (POSH, pay).</t>
  </si>
  <si>
    <t>Penalty (enter as negative)</t>
  </si>
  <si>
    <t>Assistant; citation-checked test sheet; disclaimer text; AI-use log</t>
  </si>
  <si>
    <t>Total (30)</t>
  </si>
  <si>
    <t>12 HR policy sections + 12 test questions — sheets: Knowledge Base (12 rows); Test Questions (12 rows)</t>
  </si>
  <si>
    <t>T23_HR_policy_assistant.xlsx</t>
  </si>
  <si>
    <t>Grade</t>
  </si>
  <si>
    <t>Feedback</t>
  </si>
  <si>
    <t>Kavya Suresh Nair</t>
  </si>
  <si>
    <t>T24</t>
  </si>
  <si>
    <t>MBA001</t>
  </si>
  <si>
    <t>Order-status bot for an online store</t>
  </si>
  <si>
    <t>1. Give the bot the FAQ and the order table.
2. Make it answer 'where is my order' only after the user gives an order ID.
3. Test 20 order lookups and 10 FAQ questions.
4. Document any made-up (hallucinated) order details and fix them.</t>
  </si>
  <si>
    <t>Bot; lookup test log; hallucination log; AI-use log</t>
  </si>
  <si>
    <t>20 FAQ entries + 300 fictional orders — sheets: Knowledge Base (20 rows); Orders (300 rows)</t>
  </si>
  <si>
    <t>T24_Order_status_bot_for_an_online_store.xlsx</t>
  </si>
  <si>
    <t>Example Student</t>
  </si>
  <si>
    <t>Kumar Harsh</t>
  </si>
  <si>
    <t>T25</t>
  </si>
  <si>
    <t>Restaurant ordering chatbot</t>
  </si>
  <si>
    <t>1. Build a bot that takes an order from the menu, handles changes and computes the bill with GST.
2. Test with the sample conversations plus 10 of your own.
3. Check every bill total by hand.
4. Add rules for unavailable items and allergens.</t>
  </si>
  <si>
    <t>Bot; bill verification sheet; rules; AI-use log</t>
  </si>
  <si>
    <t>38-item menu, restaurant info, sample test messages — sheets: Menu (34 rows); Restaurant Info (6 rows); Test Conversations (7 rows)</t>
  </si>
  <si>
    <t>T25_Restaurant_ordering_chatbot.xlsx</t>
  </si>
  <si>
    <t>Kunal Gupta</t>
  </si>
  <si>
    <t>T26</t>
  </si>
  <si>
    <t>Travel policy compliance assistant</t>
  </si>
  <si>
    <t>1. Build an assistant that reviews a travel request against the policy and says approve, reject or needs approval, with the rule ID.
2. Run all 150 requests.
3. Check 30 decisions by hand.
4. Report the most common violations.</t>
  </si>
  <si>
    <t>Assistant; decision sheet for 150 requests; audit of 30; AI-use log</t>
  </si>
  <si>
    <t>150 travel requests + 15 policy rules — sheets: Travel Requests (150 rows); Policy Rules (15 rows)</t>
  </si>
  <si>
    <t>T26_Travel_policy_compliance_assistant.xlsx</t>
  </si>
  <si>
    <t>Madhumitha S R</t>
  </si>
  <si>
    <t>T27</t>
  </si>
  <si>
    <t>IT helpdesk triage bot</t>
  </si>
  <si>
    <t>1. Build a bot that reads a ticket, assigns category and priority, and suggests the first response from the playbook.
2. Run 100 tickets and compare with the gold labels.
3. Improve prompts and re-run.
4. Estimate agent time saved.</t>
  </si>
  <si>
    <t>Bot; accuracy sheet (before/after); time-saving estimate; AI-use log</t>
  </si>
  <si>
    <t>500 support tickets, gold labels, resolution playbook — sheets: Tickets (500 rows); Gold Labels (evaluation) (500 rows); Resolution Playbook (6 rows)</t>
  </si>
  <si>
    <t>T27_IT_helpdesk_triage_bot.xlsx</t>
  </si>
  <si>
    <t>Mandhare Shrutika Prashant</t>
  </si>
  <si>
    <t>T28</t>
  </si>
  <si>
    <t>Product recommendation chatbot</t>
  </si>
  <si>
    <t>1. Build a bot that asks 3-4 questions (budget, use, recipient) and recommends 3 products from the catalogue only.
2. Test with 15 shopper personas you write.
3. Check that it never invents products or prices.
4. Measure how often recommendations fit the budget.</t>
  </si>
  <si>
    <t>Bot; persona test log; accuracy summary; AI-use log</t>
  </si>
  <si>
    <t>150 products with attributes and target customer — sheets: Products (150 rows)</t>
  </si>
  <si>
    <t>T28_Product_recommendation_chatbot.xlsx</t>
  </si>
  <si>
    <t>Meshram Umang Manoj</t>
  </si>
  <si>
    <t>T29</t>
  </si>
  <si>
    <t>New-employee onboarding buddy bot</t>
  </si>
  <si>
    <t>1. Build a bot from the onboarding FAQ and 30-60-90 checklist.
2. Add a 'what should I do this week' feature.
3. Test with 5 classmates role-playing new joiners.
4. Collect their feedback and improve.</t>
  </si>
  <si>
    <t>Bot; user-test feedback; improved version; AI-use log</t>
  </si>
  <si>
    <t>20 onboarding FAQs + 30-60-90 day checklist — sheets: Knowledge Base (20 rows); 30-60-90 Day Checklist (7 rows)</t>
  </si>
  <si>
    <t>T29_New_employee_onboarding_buddy_bot.xlsx</t>
  </si>
  <si>
    <t>Moharkar Neha Rajkumar</t>
  </si>
  <si>
    <t>T30</t>
  </si>
  <si>
    <t>Personal budget coach bot (educational)</t>
  </si>
  <si>
    <t>1. Build a bot that reviews a monthly budget and suggests a savings plan using the 50-30-20 rule.
2. Test on 10 personas; check every calculation.
3. Add safeguards: no product selling, clear 'educational only' notice, suggest a qualified adviser for big decisions.
4. Compare two free LLMs on quality.</t>
  </si>
  <si>
    <t>Bot; calculation checks; safeguard list; AI-use log</t>
  </si>
  <si>
    <t>50 young-professional budget personas — sheets: Personas (50 rows)</t>
  </si>
  <si>
    <t>T30_Personal_budget_coach_bot_educational.xlsx</t>
  </si>
  <si>
    <t>Nediyirippil Devarath Suku</t>
  </si>
  <si>
    <t>T31</t>
  </si>
  <si>
    <t>Farmer mandi price assistant</t>
  </si>
  <si>
    <t>1. Build a bot that answers 'what is today's onion price in Lasalgaon' and '7-day trend' from the price table.
2. Add a simple 'sell now or wait' explanation based on trend (educational).
3. Test 20 queries, including in Marathi or Hindi.
4. Check every price quoted.</t>
  </si>
  <si>
    <t>Bot; price-check log; language test; AI-use log</t>
  </si>
  <si>
    <t>90 days of mandi prices, 10 commodities, 8 Maharashtra markets — sheets: Mandi Prices (3,600 rows)</t>
  </si>
  <si>
    <t>T31_Farmer_mandi_price_assistant.xlsx</t>
  </si>
  <si>
    <t>Nikhil Singh</t>
  </si>
  <si>
    <t>T32</t>
  </si>
  <si>
    <t>Clinic appointment assistant</t>
  </si>
  <si>
    <t>1. Build a bot that finds available slots by speciality, day and time.
2. It must refuse to give medical advice and point to 108 for emergencies.
3. Test 20 booking requests and 5 medical-advice traps.
4. Log every wrong slot or unsafe answer.</t>
  </si>
  <si>
    <t>Bot; booking test log; safety test log; AI-use log</t>
  </si>
  <si>
    <t>6 doctors, 14 days of slots, clinic FAQ — sheets: Doctors (6 rows); Slots (next 14 days) (570 rows); Clinic FAQ (6 rows)</t>
  </si>
  <si>
    <t>T32_Clinic_appointment_assistant.xlsx</t>
  </si>
  <si>
    <t>Prithika G L</t>
  </si>
  <si>
    <t>T33</t>
  </si>
  <si>
    <t>Sales objection-handling coach</t>
  </si>
  <si>
    <t>1. Build a role-play bot that acts as a difficult buyer using the scenario.
2. After each role-play, the bot scores the student using the objection library.
3. Run 5 role-plays and record scores.
4. Critique the bot's feedback quality.</t>
  </si>
  <si>
    <t>Bot; 5 role-play transcripts with scores; critique; AI-use log</t>
  </si>
  <si>
    <t>20 sales objections with recommended approaches + buyer scenario — sheets: Objection Library (20 rows); Scenario (4 rows)</t>
  </si>
  <si>
    <t>T33_Sales_objection_handling_coach.xlsx</t>
  </si>
  <si>
    <t>Purvesh Vaibhav Sahane</t>
  </si>
  <si>
    <t>T34</t>
  </si>
  <si>
    <t>Contract clause explainer</t>
  </si>
  <si>
    <t>1. Build a bot that explains each clause in plain English and flags risk for the client.
2. Fill the summary and risk columns for all 25 clauses using the bot, then review each yourself.
3. Mark where the bot was wrong or overconfident.
4. Add a 'not legal advice' notice.</t>
  </si>
  <si>
    <t>Bot; completed clause sheet with review; error log; AI-use log</t>
  </si>
  <si>
    <t>25 clauses from a fictional vendor agreement — sheets: Clauses (Vendor Agreement) (25 rows)</t>
  </si>
  <si>
    <t>T34_Contract_clause_explainer.xlsx</t>
  </si>
  <si>
    <t>R Mahathi R Sastry</t>
  </si>
  <si>
    <t>T35</t>
  </si>
  <si>
    <t>Meeting-notes Q&amp;A assistant</t>
  </si>
  <si>
    <t>1. Load the 15 meeting transcripts into NotebookLM or a Gem.
2. Ask 15 questions (who owns what, decisions, risks) and verify each answer against the transcript.
3. Generate a project status summary.
4. Record any wrong owner or date.</t>
  </si>
  <si>
    <t>Assistant; verified Q&amp;A sheet; status summary; AI-use log</t>
  </si>
  <si>
    <t>15 fictional project meeting transcripts — sheets: Transcripts (15 rows)</t>
  </si>
  <si>
    <t>T35_Meeting_notes_Q_A_assistant.xlsx</t>
  </si>
  <si>
    <t>Rachita Sharma</t>
  </si>
  <si>
    <t>T36</t>
  </si>
  <si>
    <t>Review sentiment and aspect analyser</t>
  </si>
  <si>
    <t>1. Design a prompt that returns sentiment and aspects (quality, delivery, price, etc.) as a table.
2. Run it on 200 reviews in batches.
3. Compare with the gold labels and compute accuracy.
4. Build a summary of top complaints per product.</t>
  </si>
  <si>
    <t>Labelled review sheet; accuracy table; product complaint summary; AI-use log</t>
  </si>
  <si>
    <t>600 product reviews + gold labels — sheets: Reviews (600 rows); Gold Labels (evaluation) (600 rows)</t>
  </si>
  <si>
    <t>T36_Review_sentiment_and_aspect_analyser.xlsx</t>
  </si>
  <si>
    <t>Free tiers of ChatGPT, Gemini, Claude or Microsoft Copilot; Excel / Google Sheets to score results</t>
  </si>
  <si>
    <t>Rakshit Sharma</t>
  </si>
  <si>
    <t>T37</t>
  </si>
  <si>
    <t>Support ticket auto-classifier</t>
  </si>
  <si>
    <t>1. Write zero-shot and few-shot prompts to classify category and priority.
2. Run both on 150 tickets.
3. Compare accuracy against gold labels.
4. Recommend which approach to deploy.</t>
  </si>
  <si>
    <t>Classified tickets (2 methods); accuracy comparison; recommendation; AI-use log</t>
  </si>
  <si>
    <t>500 tickets + gold labels — sheets: Tickets (500 rows); Gold Labels (evaluation) (500 rows)</t>
  </si>
  <si>
    <t>T37_Support_ticket_auto_classifier.xlsx</t>
  </si>
  <si>
    <t>Risha Agarwal</t>
  </si>
  <si>
    <t>T38</t>
  </si>
  <si>
    <t>Employee survey theme coder</t>
  </si>
  <si>
    <t>1. Ask an LLM to propose themes, then refine them into a codebook.
2. Code all open comments using the codebook.
3. Check 50 codings by hand against the gold labels.
4. Link themes to low Likert scores and write an HR action plan.</t>
  </si>
  <si>
    <t>Codebook; coded responses; accuracy check; action plan; AI-use log</t>
  </si>
  <si>
    <t>300 engagement survey responses with open comments — sheets: Responses (300 rows); Gold Labels (evaluation) (300 rows)</t>
  </si>
  <si>
    <t>T38_Employee_survey_theme_coder.xlsx</t>
  </si>
  <si>
    <t>Rishi Barthwal</t>
  </si>
  <si>
    <t>T39</t>
  </si>
  <si>
    <t>Customer email triage and reply drafter</t>
  </si>
  <si>
    <t>1. Classify each email by intent and urgency.
2. Draft replies with a consistent brand tone.
3. Rate 30 drafts on accuracy, tone and completeness.
4. Create a reusable reply-template library.</t>
  </si>
  <si>
    <t>Triage sheet; 30 rated replies; template library; AI-use log</t>
  </si>
  <si>
    <t>200 customer emails + gold intent labels — sheets: Inbox (200 rows); Gold Labels (evaluation) (200 rows)</t>
  </si>
  <si>
    <t>T39_Customer_email_triage_and_reply_drafter.xlsx</t>
  </si>
  <si>
    <t>Ritesh</t>
  </si>
  <si>
    <t>T40</t>
  </si>
  <si>
    <t>Resume screener with bias check</t>
  </si>
  <si>
    <t>1. Build a prompt that scores resumes against each JD with reasons.
2. Screen all 100 resumes for 2 roles.
3. Test for bias: swap names/genders on 10 resumes and compare scores.
4. Write guidelines for fair AI-assisted screening.</t>
  </si>
  <si>
    <t>Scored shortlist; bias test results; guidelines; AI-use log</t>
  </si>
  <si>
    <t>100 synthetic resumes + 5 job descriptions — sheets: Resumes (100 rows); Job Descriptions (5 rows)</t>
  </si>
  <si>
    <t>T40_Resume_screener_with_bias_check.xlsx</t>
  </si>
  <si>
    <t>Saptarshi Bera</t>
  </si>
  <si>
    <t>T41</t>
  </si>
  <si>
    <t>Stock news sentiment tracker</t>
  </si>
  <si>
    <t>1. Classify headlines as positive, negative or neutral for the named company.
2. Check accuracy against gold labels.
3. Build a daily sentiment score per company.
4. Discuss the limits of using headline sentiment for trading (educational).</t>
  </si>
  <si>
    <t>Classified headlines; accuracy; sentiment index chart; AI-use log</t>
  </si>
  <si>
    <t>300 fictional business headlines + gold labels — sheets: Headlines (300 rows); Gold Labels (evaluation) (300 rows)</t>
  </si>
  <si>
    <t>T41_Stock_news_sentiment_tracker.xlsx</t>
  </si>
  <si>
    <t>Shalin Gudhu</t>
  </si>
  <si>
    <t>T42</t>
  </si>
  <si>
    <t>Social media post optimiser</t>
  </si>
  <si>
    <t>1. Analyse which format, topic and posting time drive engagement.
2. Ask an LLM to explain patterns; verify with pivots.
3. Generate 10 new posts following the winning pattern.
4. Build a posting-rules card for the social team.</t>
  </si>
  <si>
    <t>Engagement analysis; 10 new posts; rules card; AI-use log</t>
  </si>
  <si>
    <t>250 social posts with reach and engagement — sheets: Posts (250 rows)</t>
  </si>
  <si>
    <t>T42_Social_media_post_optimiser.xlsx</t>
  </si>
  <si>
    <t>Taniya Pal</t>
  </si>
  <si>
    <t>T43</t>
  </si>
  <si>
    <t>Meeting minutes and action tracker</t>
  </si>
  <si>
    <t>1. Turn each transcript into minutes: decisions, action items, owners, deadlines, risks.
2. Build a consolidated action tracker table.
3. Check 20 actions against the transcripts.
4. Create a reusable minutes prompt.</t>
  </si>
  <si>
    <t>Minutes for 15 meetings; action tracker; accuracy check; AI-use log</t>
  </si>
  <si>
    <t>15 meeting transcripts — sheets: Transcripts (15 rows)</t>
  </si>
  <si>
    <t>T43_Meeting_minutes_and_action_tracker.xlsx</t>
  </si>
  <si>
    <t>Tejas Mahadeo Nikam</t>
  </si>
  <si>
    <t>T44</t>
  </si>
  <si>
    <t>Competitor price intelligence brief</t>
  </si>
  <si>
    <t>1. Analyse price gaps vs competitors by category and platform.
2. Ask an LLM to write a weekly brief; verify every number.
3. Identify products where we are overpriced and underpriced.
4. Recommend price moves.</t>
  </si>
  <si>
    <t>Price-gap analysis; weekly brief; recommendations; AI-use log</t>
  </si>
  <si>
    <t>400 competitor price observations — sheets: Price Tracker (400 rows)</t>
  </si>
  <si>
    <t>T44_Competitor_price_intelligence_brief.xlsx</t>
  </si>
  <si>
    <t>Tharlada Rohith Sai Chandra</t>
  </si>
  <si>
    <t>T45</t>
  </si>
  <si>
    <t>Training feedback analyser</t>
  </si>
  <si>
    <t>1. Summarise ratings by course and trainer.
2. Theme the comments with an LLM and check a sample by hand.
3. Rank courses to redesign.
4. Draft feedback notes for trainers.</t>
  </si>
  <si>
    <t>Course scorecard; comment themes; trainer notes; AI-use log</t>
  </si>
  <si>
    <t>300 training feedback forms — sheets: Training Feedback (300 rows)</t>
  </si>
  <si>
    <t>T45_Training_feedback_analyser.xlsx</t>
  </si>
  <si>
    <t>Vaibhav Gorani</t>
  </si>
  <si>
    <t>T46</t>
  </si>
  <si>
    <t>Exit interview insight report</t>
  </si>
  <si>
    <t>1. Extract exit reasons from each interview note.
2. Compare with gold labels for accuracy.
3. Analyse reasons by department and level.
4. Write a retention strategy for leadership.</t>
  </si>
  <si>
    <t>Coded exits; accuracy; insight report; AI-use log</t>
  </si>
  <si>
    <t>120 exit interview notes + gold labels — sheets: Exit Interviews (120 rows); Gold Labels (evaluation) (120 rows)</t>
  </si>
  <si>
    <t>T46_Exit_interview_insight_report.xlsx</t>
  </si>
  <si>
    <t>Vansh Jawahar Kodarlikar</t>
  </si>
  <si>
    <t>T47</t>
  </si>
  <si>
    <t>SEO product description generator</t>
  </si>
  <si>
    <t>1. Create a prompt template that turns attributes into a 60-word description, 5 bullets and a meta title.
2. Generate descriptions for 50 products.
3. Check every fact against the attribute sheet.
4. Score readability and keyword use.</t>
  </si>
  <si>
    <t>50 descriptions; fact-check sheet; prompt template; AI-use log</t>
  </si>
  <si>
    <t>150 products with key attributes — sheets: Products (150 rows)</t>
  </si>
  <si>
    <t>T47_SEO_product_description_generator.xlsx</t>
  </si>
  <si>
    <t>Vinayak Tandon</t>
  </si>
  <si>
    <t>T48</t>
  </si>
  <si>
    <t>Invoice extraction and reconciliation</t>
  </si>
  <si>
    <t>1. Use an LLM to extract invoice no, vendor, date, taxable value, GST and total from 100 messy invoice texts.
2. Reconcile with the ledger: matched, amount mismatch, missing in ledger, missing invoice.
3. Check 20 extractions by hand.
4. Write an AP process recommendation.</t>
  </si>
  <si>
    <t>Extraction table; reconciliation report; accuracy check; AI-use log</t>
  </si>
  <si>
    <t>100 invoice texts in 3 formats + accounts payable ledger — sheets: Invoice Text (100 rows); Accounts Payable Ledger (99 rows)</t>
  </si>
  <si>
    <t>T48_Invoice_extraction_and_reconciliation.xlsx</t>
  </si>
  <si>
    <t>Yash Dixit</t>
  </si>
  <si>
    <t>T49</t>
  </si>
  <si>
    <t>Purchase request approval recommender</t>
  </si>
  <si>
    <t>1. Build a prompt that recommends approve / send back / escalate using the approval matrix.
2. Run all 150 requests.
3. Audit 30 decisions.
4. Summarise policy gaps you discovered.</t>
  </si>
  <si>
    <t>Decision sheet; audit; policy-gap note; AI-use log</t>
  </si>
  <si>
    <t>150 purchase requests + approval matrix — sheets: Purchase Requests (150 rows); Approval Matrix (5 rows)</t>
  </si>
  <si>
    <t>T49_Purchase_request_approval_recommender.xlsx</t>
  </si>
  <si>
    <t>A Deekshitha</t>
  </si>
  <si>
    <t>T50</t>
  </si>
  <si>
    <t>Call centre quality scorer</t>
  </si>
  <si>
    <t>1. Build a prompt that scores each call on the 5-point QA checklist with evidence lines.
2. Score all 40 calls.
3. Compare with the gold scores.
4. Write coaching tips for the 3 weakest agents.</t>
  </si>
  <si>
    <t>QA scores; accuracy; coaching notes; AI-use log</t>
  </si>
  <si>
    <t>40 call transcripts + QA checklist + gold scores — sheets: Call Transcripts (40 rows); QA Checklist (5 rows); Gold Labels (evaluation) (40 rows)</t>
  </si>
  <si>
    <t>T50_Call_centre_quality_scorer.xlsx</t>
  </si>
  <si>
    <t>Rohan Lal</t>
  </si>
  <si>
    <t>T51</t>
  </si>
  <si>
    <t>AI-built brand campaign kit</t>
  </si>
  <si>
    <t>1. Use the brand brief to generate a campaign idea, 6 visuals and captions.
2. Iterate prompts to keep brand colours and tone consistent.
3. Get 5 people to rate brand fit.
4. Document image rights and AI-disclosure.</t>
  </si>
  <si>
    <t>Campaign kit (visuals + copy); prompt evolution log; rating results; AI-use log</t>
  </si>
  <si>
    <t>Brand brief, 5 personas, product list for fictional Chaiwala Co. — sheets: Brand Brief (8 rows); Personas (5 rows); Products (6 rows)</t>
  </si>
  <si>
    <t>T51_AI_built_brand_campaign_kit.xlsx</t>
  </si>
  <si>
    <t>Free image generation in ChatGPT, Gemini, Microsoft Designer/Copilot or Meta AI; Canva free for layout</t>
  </si>
  <si>
    <t>Akshay Raj Singh Deo</t>
  </si>
  <si>
    <t>T52</t>
  </si>
  <si>
    <t>30-day content calendar generator</t>
  </si>
  <si>
    <t>1. Build an app that creates a 30-day calendar per persona and channel from the brand brief.
2. Export the calendar to a sheet.
3. Write 10 of the posts in full.
4. Check for repetition and off-brand content.</t>
  </si>
  <si>
    <t>Calendar app; 30-day calendar; 10 posts; AI-use log</t>
  </si>
  <si>
    <t>Brand brief, personas, products — sheets: Brand Brief (8 rows); Personas (5 rows); Products (6 rows)</t>
  </si>
  <si>
    <t>T52_30_day_content_calendar_generator.xlsx</t>
  </si>
  <si>
    <t>Taruna Raju Raskar</t>
  </si>
  <si>
    <t>T53</t>
  </si>
  <si>
    <t>Email A/B test analyser</t>
  </si>
  <si>
    <t>1. Build a tool that computes open and click rates with significance (let an LLM explain the test).
2. Analyse all 20 tests.
3. Identify winning patterns.
4. Generate 5 new test ideas.</t>
  </si>
  <si>
    <t>A/B tool; results table; test ideas; AI-use log</t>
  </si>
  <si>
    <t>20 email A/B test results — sheets: AB Tests (20 rows)</t>
  </si>
  <si>
    <t>T53_Email_A_B_test_analyser.xlsx</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</si>
</sst>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4.0"/>
      <color rgb="FF1F4E5A"/>
      <name val="Arial"/>
    </font>
    <font>
      <b/>
      <sz val="10.0"/>
      <color rgb="FFFFFFFF"/>
      <name val="Arial"/>
    </font>
    <font>
      <b/>
      <sz val="10.0"/>
      <color theme="1"/>
      <name val="Arial"/>
    </font>
    <font>
      <color theme="1"/>
      <name val="Arial"/>
      <scheme val="minor"/>
    </font>
    <font>
      <sz val="11.0"/>
      <color theme="1"/>
      <name val="Calibri"/>
    </font>
    <font>
      <color rgb="FFFF0000"/>
      <name val="Arial"/>
      <scheme val="minor"/>
    </font>
    <font>
      <i/>
      <sz val="10.0"/>
      <color rgb="FF666666"/>
      <name val="Arial"/>
    </font>
    <font>
      <sz val="11.0"/>
      <color rgb="FF222222"/>
      <name val="Calibri"/>
    </font>
  </fonts>
  <fills count="6">
    <fill>
      <patternFill patternType="none"/>
    </fill>
    <fill>
      <patternFill patternType="lightGray"/>
    </fill>
    <fill>
      <patternFill patternType="solid">
        <fgColor rgb="FF1F4E5A"/>
        <bgColor rgb="FF1F4E5A"/>
      </patternFill>
    </fill>
    <fill>
      <patternFill patternType="solid">
        <fgColor rgb="FFE8F1F2"/>
        <bgColor rgb="FFE8F1F2"/>
      </patternFill>
    </fill>
    <fill>
      <patternFill patternType="solid">
        <fgColor rgb="FF000000"/>
        <bgColor rgb="FF000000"/>
      </patternFill>
    </fill>
    <fill>
      <patternFill patternType="solid">
        <fgColor rgb="FFFFF2CC"/>
        <bgColor rgb="FFFFF2CC"/>
      </patternFill>
    </fill>
  </fills>
  <borders count="3">
    <border/>
    <border>
      <left style="thin">
        <color rgb="FFC9D3D6"/>
      </left>
      <right style="thin">
        <color rgb="FFC9D3D6"/>
      </right>
      <top style="thin">
        <color rgb="FFC9D3D6"/>
      </top>
      <bottom style="thin">
        <color rgb="FFC9D3D6"/>
      </bottom>
    </border>
    <border>
      <left style="medium">
        <color rgb="FFCCCCCC"/>
      </left>
      <right style="medium">
        <color rgb="FF000000"/>
      </right>
      <top style="medium">
        <color rgb="FFCCCCCC"/>
      </top>
      <bottom style="medium">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center" wrapText="1"/>
    </xf>
    <xf borderId="1" fillId="3" fontId="3" numFmtId="0" xfId="0" applyAlignment="1" applyBorder="1" applyFill="1" applyFont="1">
      <alignment shrinkToFit="0" vertical="top" wrapText="1"/>
    </xf>
    <xf borderId="0" fillId="0" fontId="4" numFmtId="0" xfId="0" applyFont="1"/>
    <xf borderId="1" fillId="0" fontId="5" numFmtId="0" xfId="0" applyAlignment="1" applyBorder="1" applyFont="1">
      <alignment shrinkToFit="0" vertical="top" wrapText="1"/>
    </xf>
    <xf borderId="0" fillId="4" fontId="6" numFmtId="0" xfId="0" applyAlignment="1" applyFill="1" applyFont="1">
      <alignment readingOrder="0"/>
    </xf>
    <xf borderId="2" fillId="0" fontId="5" numFmtId="0" xfId="0" applyAlignment="1" applyBorder="1" applyFont="1">
      <alignment horizontal="right" shrinkToFit="0" wrapText="1"/>
    </xf>
    <xf borderId="2" fillId="0" fontId="5" numFmtId="0" xfId="0" applyBorder="1" applyFont="1"/>
    <xf borderId="0" fillId="0" fontId="3" numFmtId="0" xfId="0" applyFont="1"/>
    <xf borderId="2" fillId="0" fontId="5" numFmtId="0" xfId="0" applyAlignment="1" applyBorder="1" applyFont="1">
      <alignment shrinkToFit="0" wrapText="1"/>
    </xf>
    <xf borderId="1" fillId="5" fontId="7" numFmtId="0" xfId="0" applyBorder="1" applyFill="1" applyFont="1"/>
    <xf borderId="1" fillId="0" fontId="5" numFmtId="0" xfId="0" applyBorder="1" applyFont="1"/>
    <xf borderId="1" fillId="5" fontId="5" numFmtId="0" xfId="0" applyBorder="1" applyFill="1" applyFont="1"/>
    <xf borderId="2" fillId="0" fontId="8"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3.88"/>
    <col customWidth="1" min="2" max="2" width="110.0"/>
    <col customWidth="1" min="3" max="26" width="8.63"/>
  </cols>
  <sheetData>
    <row r="1" ht="12.0" customHeight="1">
      <c r="A1" s="1" t="s">
        <v>0</v>
      </c>
    </row>
    <row r="2" ht="12.0" customHeight="1"/>
    <row r="3" ht="27.75" customHeight="1">
      <c r="A3" s="3" t="s">
        <v>4</v>
      </c>
      <c r="B3" s="5" t="s">
        <v>7</v>
      </c>
    </row>
    <row r="4" ht="27.75" customHeight="1">
      <c r="A4" s="3" t="s">
        <v>8</v>
      </c>
      <c r="B4" s="5" t="s">
        <v>9</v>
      </c>
    </row>
    <row r="5" ht="27.75" customHeight="1">
      <c r="A5" s="3" t="s">
        <v>10</v>
      </c>
      <c r="B5" s="5" t="s">
        <v>11</v>
      </c>
    </row>
    <row r="6" ht="42.0" customHeight="1">
      <c r="A6" s="3" t="s">
        <v>13</v>
      </c>
      <c r="B6" s="5" t="s">
        <v>14</v>
      </c>
    </row>
    <row r="7" ht="42.0" customHeight="1">
      <c r="A7" s="3" t="s">
        <v>16</v>
      </c>
      <c r="B7" s="5" t="s">
        <v>17</v>
      </c>
    </row>
    <row r="8" ht="18.0" customHeight="1">
      <c r="A8" s="3" t="s">
        <v>18</v>
      </c>
      <c r="B8" s="5" t="s">
        <v>20</v>
      </c>
    </row>
    <row r="9" ht="27.75" customHeight="1">
      <c r="A9" s="3" t="s">
        <v>23</v>
      </c>
      <c r="B9" s="5" t="s">
        <v>26</v>
      </c>
    </row>
    <row r="10" ht="27.75" customHeight="1">
      <c r="A10" s="3" t="s">
        <v>29</v>
      </c>
      <c r="B10" s="5" t="s">
        <v>31</v>
      </c>
    </row>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1" width="14.13"/>
    <col customWidth="1" min="2" max="2" width="22.38"/>
    <col customWidth="1" min="3" max="3" width="8.0"/>
    <col customWidth="1" min="4" max="4" width="22.0"/>
    <col customWidth="1" min="5" max="5" width="30.0"/>
    <col customWidth="1" min="6" max="6" width="70.0"/>
    <col customWidth="1" min="7" max="7" width="40.0"/>
    <col customWidth="1" min="8" max="8" width="45.0"/>
    <col customWidth="1" min="9" max="9" width="36.0"/>
    <col customWidth="1" min="10" max="10" width="40.0"/>
    <col customWidth="1" min="11" max="11" width="17.75"/>
    <col customWidth="1" min="12" max="26" width="8.63"/>
  </cols>
  <sheetData>
    <row r="1" ht="12.0" customHeight="1">
      <c r="A1" s="2" t="s">
        <v>1</v>
      </c>
      <c r="B1" s="2" t="s">
        <v>12</v>
      </c>
      <c r="C1" s="2" t="s">
        <v>15</v>
      </c>
      <c r="D1" s="2" t="s">
        <v>2</v>
      </c>
      <c r="E1" s="2" t="s">
        <v>21</v>
      </c>
      <c r="F1" s="2" t="s">
        <v>24</v>
      </c>
      <c r="G1" s="2" t="s">
        <v>27</v>
      </c>
      <c r="H1" s="2" t="s">
        <v>30</v>
      </c>
      <c r="I1" s="2" t="s">
        <v>32</v>
      </c>
      <c r="J1" s="2" t="s">
        <v>34</v>
      </c>
      <c r="K1" s="6" t="s">
        <v>36</v>
      </c>
    </row>
    <row r="2" ht="120.0" customHeight="1">
      <c r="A2" s="7">
        <v>2.6030242002E10</v>
      </c>
      <c r="B2" s="8" t="s">
        <v>50</v>
      </c>
      <c r="C2" s="5" t="s">
        <v>54</v>
      </c>
      <c r="D2" s="5" t="s">
        <v>6</v>
      </c>
      <c r="E2" s="5" t="s">
        <v>58</v>
      </c>
      <c r="F2" s="5" t="s">
        <v>61</v>
      </c>
      <c r="G2" s="5" t="s">
        <v>63</v>
      </c>
      <c r="H2" s="5" t="s">
        <v>66</v>
      </c>
      <c r="I2" s="5" t="s">
        <v>68</v>
      </c>
      <c r="J2" s="5" t="s">
        <v>70</v>
      </c>
    </row>
    <row r="3" ht="120.0" customHeight="1">
      <c r="A3" s="7">
        <v>2.6030242003E10</v>
      </c>
      <c r="B3" s="10" t="s">
        <v>75</v>
      </c>
      <c r="C3" s="5" t="s">
        <v>76</v>
      </c>
      <c r="D3" s="5" t="s">
        <v>6</v>
      </c>
      <c r="E3" s="5" t="s">
        <v>78</v>
      </c>
      <c r="F3" s="5" t="s">
        <v>79</v>
      </c>
      <c r="G3" s="5" t="s">
        <v>80</v>
      </c>
      <c r="H3" s="5" t="s">
        <v>81</v>
      </c>
      <c r="I3" s="5" t="s">
        <v>82</v>
      </c>
      <c r="J3" s="5" t="s">
        <v>70</v>
      </c>
    </row>
    <row r="4" ht="120.0" customHeight="1">
      <c r="A4" s="7">
        <v>2.6030242004E10</v>
      </c>
      <c r="B4" s="10" t="s">
        <v>83</v>
      </c>
      <c r="C4" s="5" t="s">
        <v>84</v>
      </c>
      <c r="D4" s="5" t="s">
        <v>6</v>
      </c>
      <c r="E4" s="5" t="s">
        <v>85</v>
      </c>
      <c r="F4" s="5" t="s">
        <v>86</v>
      </c>
      <c r="G4" s="5" t="s">
        <v>87</v>
      </c>
      <c r="H4" s="5" t="s">
        <v>88</v>
      </c>
      <c r="I4" s="5" t="s">
        <v>89</v>
      </c>
      <c r="J4" s="5" t="s">
        <v>70</v>
      </c>
    </row>
    <row r="5" ht="120.0" customHeight="1">
      <c r="A5" s="7">
        <v>2.6030242005E10</v>
      </c>
      <c r="B5" s="10" t="s">
        <v>91</v>
      </c>
      <c r="C5" s="5" t="s">
        <v>92</v>
      </c>
      <c r="D5" s="5" t="s">
        <v>6</v>
      </c>
      <c r="E5" s="5" t="s">
        <v>93</v>
      </c>
      <c r="F5" s="5" t="s">
        <v>94</v>
      </c>
      <c r="G5" s="5" t="s">
        <v>95</v>
      </c>
      <c r="H5" s="5" t="s">
        <v>96</v>
      </c>
      <c r="I5" s="5" t="s">
        <v>97</v>
      </c>
      <c r="J5" s="5" t="s">
        <v>70</v>
      </c>
    </row>
    <row r="6" ht="120.0" customHeight="1">
      <c r="A6" s="7">
        <v>2.6030242008E10</v>
      </c>
      <c r="B6" s="10" t="s">
        <v>98</v>
      </c>
      <c r="C6" s="5" t="s">
        <v>100</v>
      </c>
      <c r="D6" s="5" t="s">
        <v>6</v>
      </c>
      <c r="E6" s="5" t="s">
        <v>101</v>
      </c>
      <c r="F6" s="5" t="s">
        <v>102</v>
      </c>
      <c r="G6" s="5" t="s">
        <v>103</v>
      </c>
      <c r="H6" s="5" t="s">
        <v>104</v>
      </c>
      <c r="I6" s="5" t="s">
        <v>105</v>
      </c>
      <c r="J6" s="5" t="s">
        <v>70</v>
      </c>
    </row>
    <row r="7" ht="120.0" customHeight="1">
      <c r="A7" s="7">
        <v>2.6030242009E10</v>
      </c>
      <c r="B7" s="10" t="s">
        <v>106</v>
      </c>
      <c r="C7" s="5" t="s">
        <v>107</v>
      </c>
      <c r="D7" s="5" t="s">
        <v>6</v>
      </c>
      <c r="E7" s="5" t="s">
        <v>109</v>
      </c>
      <c r="F7" s="5" t="s">
        <v>110</v>
      </c>
      <c r="G7" s="5" t="s">
        <v>111</v>
      </c>
      <c r="H7" s="5" t="s">
        <v>112</v>
      </c>
      <c r="I7" s="5" t="s">
        <v>113</v>
      </c>
      <c r="J7" s="5" t="s">
        <v>70</v>
      </c>
    </row>
    <row r="8" ht="120.0" customHeight="1">
      <c r="A8" s="7">
        <v>2.603024201E10</v>
      </c>
      <c r="B8" s="10" t="s">
        <v>114</v>
      </c>
      <c r="C8" s="5" t="s">
        <v>115</v>
      </c>
      <c r="D8" s="5" t="s">
        <v>6</v>
      </c>
      <c r="E8" s="5" t="s">
        <v>116</v>
      </c>
      <c r="F8" s="5" t="s">
        <v>117</v>
      </c>
      <c r="G8" s="5" t="s">
        <v>118</v>
      </c>
      <c r="H8" s="5" t="s">
        <v>120</v>
      </c>
      <c r="I8" s="5" t="s">
        <v>121</v>
      </c>
      <c r="J8" s="5" t="s">
        <v>70</v>
      </c>
    </row>
    <row r="9" ht="120.0" customHeight="1">
      <c r="A9" s="7">
        <v>2.6030242011E10</v>
      </c>
      <c r="B9" s="10" t="s">
        <v>122</v>
      </c>
      <c r="C9" s="5" t="s">
        <v>123</v>
      </c>
      <c r="D9" s="5" t="s">
        <v>6</v>
      </c>
      <c r="E9" s="5" t="s">
        <v>124</v>
      </c>
      <c r="F9" s="5" t="s">
        <v>125</v>
      </c>
      <c r="G9" s="5" t="s">
        <v>126</v>
      </c>
      <c r="H9" s="5" t="s">
        <v>127</v>
      </c>
      <c r="I9" s="5" t="s">
        <v>128</v>
      </c>
      <c r="J9" s="5" t="s">
        <v>70</v>
      </c>
    </row>
    <row r="10" ht="120.0" customHeight="1">
      <c r="A10" s="7">
        <v>2.6030242012E10</v>
      </c>
      <c r="B10" s="10" t="s">
        <v>129</v>
      </c>
      <c r="C10" s="5" t="s">
        <v>130</v>
      </c>
      <c r="D10" s="5" t="s">
        <v>6</v>
      </c>
      <c r="E10" s="5" t="s">
        <v>131</v>
      </c>
      <c r="F10" s="5" t="s">
        <v>132</v>
      </c>
      <c r="G10" s="5" t="s">
        <v>133</v>
      </c>
      <c r="H10" s="5" t="s">
        <v>134</v>
      </c>
      <c r="I10" s="5" t="s">
        <v>135</v>
      </c>
      <c r="J10" s="5" t="s">
        <v>136</v>
      </c>
    </row>
    <row r="11" ht="120.0" customHeight="1">
      <c r="A11" s="7">
        <v>2.6030242013E10</v>
      </c>
      <c r="B11" s="10" t="s">
        <v>137</v>
      </c>
      <c r="C11" s="5" t="s">
        <v>138</v>
      </c>
      <c r="D11" s="5" t="s">
        <v>6</v>
      </c>
      <c r="E11" s="5" t="s">
        <v>139</v>
      </c>
      <c r="F11" s="5" t="s">
        <v>140</v>
      </c>
      <c r="G11" s="5" t="s">
        <v>141</v>
      </c>
      <c r="H11" s="5" t="s">
        <v>142</v>
      </c>
      <c r="I11" s="5" t="s">
        <v>143</v>
      </c>
      <c r="J11" s="5" t="s">
        <v>136</v>
      </c>
    </row>
    <row r="12" ht="120.0" customHeight="1">
      <c r="A12" s="7">
        <v>2.6030242014E10</v>
      </c>
      <c r="B12" s="10" t="s">
        <v>144</v>
      </c>
      <c r="C12" s="5" t="s">
        <v>145</v>
      </c>
      <c r="D12" s="5" t="s">
        <v>6</v>
      </c>
      <c r="E12" s="5" t="s">
        <v>146</v>
      </c>
      <c r="F12" s="5" t="s">
        <v>147</v>
      </c>
      <c r="G12" s="5" t="s">
        <v>148</v>
      </c>
      <c r="H12" s="5" t="s">
        <v>149</v>
      </c>
      <c r="I12" s="5" t="s">
        <v>150</v>
      </c>
      <c r="J12" s="5" t="s">
        <v>70</v>
      </c>
    </row>
    <row r="13" ht="120.0" customHeight="1">
      <c r="A13" s="7">
        <v>2.6030242016E10</v>
      </c>
      <c r="B13" s="10" t="s">
        <v>151</v>
      </c>
      <c r="C13" s="5" t="s">
        <v>152</v>
      </c>
      <c r="D13" s="5" t="s">
        <v>6</v>
      </c>
      <c r="E13" s="5" t="s">
        <v>153</v>
      </c>
      <c r="F13" s="5" t="s">
        <v>154</v>
      </c>
      <c r="G13" s="5" t="s">
        <v>155</v>
      </c>
      <c r="H13" s="5" t="s">
        <v>156</v>
      </c>
      <c r="I13" s="5" t="s">
        <v>157</v>
      </c>
      <c r="J13" s="5" t="s">
        <v>70</v>
      </c>
    </row>
    <row r="14" ht="120.0" customHeight="1">
      <c r="A14" s="7">
        <v>2.6030242017E10</v>
      </c>
      <c r="B14" s="10" t="s">
        <v>158</v>
      </c>
      <c r="C14" s="5" t="s">
        <v>159</v>
      </c>
      <c r="D14" s="5" t="s">
        <v>6</v>
      </c>
      <c r="E14" s="5" t="s">
        <v>160</v>
      </c>
      <c r="F14" s="5" t="s">
        <v>161</v>
      </c>
      <c r="G14" s="5" t="s">
        <v>162</v>
      </c>
      <c r="H14" s="5" t="s">
        <v>163</v>
      </c>
      <c r="I14" s="5" t="s">
        <v>164</v>
      </c>
      <c r="J14" s="5" t="s">
        <v>70</v>
      </c>
    </row>
    <row r="15" ht="120.0" customHeight="1">
      <c r="A15" s="7">
        <v>2.6030242018E10</v>
      </c>
      <c r="B15" s="10" t="s">
        <v>165</v>
      </c>
      <c r="C15" s="5" t="s">
        <v>166</v>
      </c>
      <c r="D15" s="5" t="s">
        <v>6</v>
      </c>
      <c r="E15" s="5" t="s">
        <v>167</v>
      </c>
      <c r="F15" s="5" t="s">
        <v>168</v>
      </c>
      <c r="G15" s="5" t="s">
        <v>169</v>
      </c>
      <c r="H15" s="5" t="s">
        <v>170</v>
      </c>
      <c r="I15" s="5" t="s">
        <v>171</v>
      </c>
      <c r="J15" s="5" t="s">
        <v>136</v>
      </c>
    </row>
    <row r="16" ht="120.0" customHeight="1">
      <c r="A16" s="7">
        <v>2.6030242019E10</v>
      </c>
      <c r="B16" s="10" t="s">
        <v>172</v>
      </c>
      <c r="C16" s="5" t="s">
        <v>173</v>
      </c>
      <c r="D16" s="5" t="s">
        <v>6</v>
      </c>
      <c r="E16" s="5" t="s">
        <v>174</v>
      </c>
      <c r="F16" s="5" t="s">
        <v>175</v>
      </c>
      <c r="G16" s="5" t="s">
        <v>176</v>
      </c>
      <c r="H16" s="5" t="s">
        <v>177</v>
      </c>
      <c r="I16" s="5" t="s">
        <v>178</v>
      </c>
      <c r="J16" s="5" t="s">
        <v>70</v>
      </c>
    </row>
    <row r="17" ht="120.0" customHeight="1">
      <c r="A17" s="7">
        <v>2.603024202E10</v>
      </c>
      <c r="B17" s="10" t="s">
        <v>179</v>
      </c>
      <c r="C17" s="5" t="s">
        <v>180</v>
      </c>
      <c r="D17" s="5" t="s">
        <v>6</v>
      </c>
      <c r="E17" s="5" t="s">
        <v>181</v>
      </c>
      <c r="F17" s="5" t="s">
        <v>182</v>
      </c>
      <c r="G17" s="5" t="s">
        <v>183</v>
      </c>
      <c r="H17" s="5" t="s">
        <v>184</v>
      </c>
      <c r="I17" s="5" t="s">
        <v>185</v>
      </c>
      <c r="J17" s="5" t="s">
        <v>70</v>
      </c>
    </row>
    <row r="18" ht="120.0" customHeight="1">
      <c r="A18" s="7">
        <v>2.6030242021E10</v>
      </c>
      <c r="B18" s="10" t="s">
        <v>186</v>
      </c>
      <c r="C18" s="5" t="s">
        <v>187</v>
      </c>
      <c r="D18" s="5" t="s">
        <v>6</v>
      </c>
      <c r="E18" s="5" t="s">
        <v>188</v>
      </c>
      <c r="F18" s="5" t="s">
        <v>189</v>
      </c>
      <c r="G18" s="5" t="s">
        <v>190</v>
      </c>
      <c r="H18" s="5" t="s">
        <v>191</v>
      </c>
      <c r="I18" s="5" t="s">
        <v>192</v>
      </c>
      <c r="J18" s="5" t="s">
        <v>70</v>
      </c>
    </row>
    <row r="19" ht="120.0" customHeight="1">
      <c r="A19" s="7">
        <v>2.6030242022E10</v>
      </c>
      <c r="B19" s="10" t="s">
        <v>193</v>
      </c>
      <c r="C19" s="5" t="s">
        <v>194</v>
      </c>
      <c r="D19" s="5" t="s">
        <v>6</v>
      </c>
      <c r="E19" s="5" t="s">
        <v>195</v>
      </c>
      <c r="F19" s="5" t="s">
        <v>196</v>
      </c>
      <c r="G19" s="5" t="s">
        <v>197</v>
      </c>
      <c r="H19" s="5" t="s">
        <v>198</v>
      </c>
      <c r="I19" s="5" t="s">
        <v>199</v>
      </c>
      <c r="J19" s="5" t="s">
        <v>70</v>
      </c>
    </row>
    <row r="20" ht="120.0" customHeight="1">
      <c r="A20" s="7">
        <v>2.6030242023E10</v>
      </c>
      <c r="B20" s="10" t="s">
        <v>200</v>
      </c>
      <c r="C20" s="5" t="s">
        <v>201</v>
      </c>
      <c r="D20" s="5" t="s">
        <v>6</v>
      </c>
      <c r="E20" s="5" t="s">
        <v>202</v>
      </c>
      <c r="F20" s="5" t="s">
        <v>203</v>
      </c>
      <c r="G20" s="5" t="s">
        <v>204</v>
      </c>
      <c r="H20" s="5" t="s">
        <v>205</v>
      </c>
      <c r="I20" s="5" t="s">
        <v>206</v>
      </c>
      <c r="J20" s="5" t="s">
        <v>70</v>
      </c>
    </row>
    <row r="21" ht="120.0" customHeight="1">
      <c r="A21" s="7">
        <v>2.6030242025E10</v>
      </c>
      <c r="B21" s="10" t="s">
        <v>207</v>
      </c>
      <c r="C21" s="5" t="s">
        <v>208</v>
      </c>
      <c r="D21" s="5" t="s">
        <v>6</v>
      </c>
      <c r="E21" s="5" t="s">
        <v>209</v>
      </c>
      <c r="F21" s="5" t="s">
        <v>210</v>
      </c>
      <c r="G21" s="5" t="s">
        <v>211</v>
      </c>
      <c r="H21" s="5" t="s">
        <v>212</v>
      </c>
      <c r="I21" s="5" t="s">
        <v>213</v>
      </c>
      <c r="J21" s="5" t="s">
        <v>70</v>
      </c>
    </row>
    <row r="22" ht="120.0" customHeight="1">
      <c r="A22" s="7">
        <v>2.6030242027E10</v>
      </c>
      <c r="B22" s="10" t="s">
        <v>214</v>
      </c>
      <c r="C22" s="5" t="s">
        <v>215</v>
      </c>
      <c r="D22" s="5" t="s">
        <v>77</v>
      </c>
      <c r="E22" s="5" t="s">
        <v>216</v>
      </c>
      <c r="F22" s="5" t="s">
        <v>217</v>
      </c>
      <c r="G22" s="5" t="s">
        <v>218</v>
      </c>
      <c r="H22" s="5" t="s">
        <v>219</v>
      </c>
      <c r="I22" s="5" t="s">
        <v>221</v>
      </c>
      <c r="J22" s="5" t="s">
        <v>222</v>
      </c>
    </row>
    <row r="23" ht="120.0" customHeight="1">
      <c r="A23" s="7">
        <v>2.6030242028E10</v>
      </c>
      <c r="B23" s="10" t="s">
        <v>223</v>
      </c>
      <c r="C23" s="5" t="s">
        <v>224</v>
      </c>
      <c r="D23" s="5" t="s">
        <v>77</v>
      </c>
      <c r="E23" s="5" t="s">
        <v>226</v>
      </c>
      <c r="F23" s="5" t="s">
        <v>228</v>
      </c>
      <c r="G23" s="5" t="s">
        <v>229</v>
      </c>
      <c r="H23" s="5" t="s">
        <v>230</v>
      </c>
      <c r="I23" s="5" t="s">
        <v>232</v>
      </c>
      <c r="J23" s="5" t="s">
        <v>222</v>
      </c>
    </row>
    <row r="24" ht="120.0" customHeight="1">
      <c r="A24" s="7">
        <v>2.6030242029E10</v>
      </c>
      <c r="B24" s="10" t="s">
        <v>234</v>
      </c>
      <c r="C24" s="5" t="s">
        <v>236</v>
      </c>
      <c r="D24" s="5" t="s">
        <v>77</v>
      </c>
      <c r="E24" s="5" t="s">
        <v>238</v>
      </c>
      <c r="F24" s="5" t="s">
        <v>240</v>
      </c>
      <c r="G24" s="5" t="s">
        <v>242</v>
      </c>
      <c r="H24" s="5" t="s">
        <v>244</v>
      </c>
      <c r="I24" s="5" t="s">
        <v>245</v>
      </c>
      <c r="J24" s="5" t="s">
        <v>222</v>
      </c>
    </row>
    <row r="25" ht="120.0" customHeight="1">
      <c r="A25" s="7">
        <v>2.603024203E10</v>
      </c>
      <c r="B25" s="10" t="s">
        <v>248</v>
      </c>
      <c r="C25" s="5" t="s">
        <v>249</v>
      </c>
      <c r="D25" s="5" t="s">
        <v>77</v>
      </c>
      <c r="E25" s="5" t="s">
        <v>251</v>
      </c>
      <c r="F25" s="5" t="s">
        <v>252</v>
      </c>
      <c r="G25" s="5" t="s">
        <v>253</v>
      </c>
      <c r="H25" s="5" t="s">
        <v>254</v>
      </c>
      <c r="I25" s="5" t="s">
        <v>255</v>
      </c>
      <c r="J25" s="5" t="s">
        <v>222</v>
      </c>
    </row>
    <row r="26" ht="120.0" customHeight="1">
      <c r="A26" s="7">
        <v>2.6030242032E10</v>
      </c>
      <c r="B26" s="10" t="s">
        <v>257</v>
      </c>
      <c r="C26" s="5" t="s">
        <v>258</v>
      </c>
      <c r="D26" s="5" t="s">
        <v>77</v>
      </c>
      <c r="E26" s="5" t="s">
        <v>259</v>
      </c>
      <c r="F26" s="5" t="s">
        <v>260</v>
      </c>
      <c r="G26" s="5" t="s">
        <v>261</v>
      </c>
      <c r="H26" s="5" t="s">
        <v>262</v>
      </c>
      <c r="I26" s="5" t="s">
        <v>263</v>
      </c>
      <c r="J26" s="5" t="s">
        <v>222</v>
      </c>
    </row>
    <row r="27" ht="120.0" customHeight="1">
      <c r="A27" s="7">
        <v>2.6030242033E10</v>
      </c>
      <c r="B27" s="10" t="s">
        <v>264</v>
      </c>
      <c r="C27" s="5" t="s">
        <v>265</v>
      </c>
      <c r="D27" s="5" t="s">
        <v>77</v>
      </c>
      <c r="E27" s="5" t="s">
        <v>266</v>
      </c>
      <c r="F27" s="5" t="s">
        <v>267</v>
      </c>
      <c r="G27" s="5" t="s">
        <v>268</v>
      </c>
      <c r="H27" s="5" t="s">
        <v>269</v>
      </c>
      <c r="I27" s="5" t="s">
        <v>270</v>
      </c>
      <c r="J27" s="5" t="s">
        <v>222</v>
      </c>
    </row>
    <row r="28" ht="120.0" customHeight="1">
      <c r="A28" s="7">
        <v>2.6030242034E10</v>
      </c>
      <c r="B28" s="10" t="s">
        <v>271</v>
      </c>
      <c r="C28" s="5" t="s">
        <v>272</v>
      </c>
      <c r="D28" s="5" t="s">
        <v>77</v>
      </c>
      <c r="E28" s="5" t="s">
        <v>273</v>
      </c>
      <c r="F28" s="5" t="s">
        <v>274</v>
      </c>
      <c r="G28" s="5" t="s">
        <v>275</v>
      </c>
      <c r="H28" s="5" t="s">
        <v>276</v>
      </c>
      <c r="I28" s="5" t="s">
        <v>277</v>
      </c>
      <c r="J28" s="5" t="s">
        <v>222</v>
      </c>
    </row>
    <row r="29" ht="120.0" customHeight="1">
      <c r="A29" s="7">
        <v>2.6030242035E10</v>
      </c>
      <c r="B29" s="10" t="s">
        <v>278</v>
      </c>
      <c r="C29" s="5" t="s">
        <v>279</v>
      </c>
      <c r="D29" s="5" t="s">
        <v>77</v>
      </c>
      <c r="E29" s="5" t="s">
        <v>280</v>
      </c>
      <c r="F29" s="5" t="s">
        <v>281</v>
      </c>
      <c r="G29" s="5" t="s">
        <v>282</v>
      </c>
      <c r="H29" s="5" t="s">
        <v>283</v>
      </c>
      <c r="I29" s="5" t="s">
        <v>284</v>
      </c>
      <c r="J29" s="5" t="s">
        <v>222</v>
      </c>
    </row>
    <row r="30" ht="120.0" customHeight="1">
      <c r="A30" s="7">
        <v>2.6030242036E10</v>
      </c>
      <c r="B30" s="10" t="s">
        <v>285</v>
      </c>
      <c r="C30" s="5" t="s">
        <v>286</v>
      </c>
      <c r="D30" s="5" t="s">
        <v>77</v>
      </c>
      <c r="E30" s="5" t="s">
        <v>287</v>
      </c>
      <c r="F30" s="5" t="s">
        <v>288</v>
      </c>
      <c r="G30" s="5" t="s">
        <v>289</v>
      </c>
      <c r="H30" s="5" t="s">
        <v>290</v>
      </c>
      <c r="I30" s="5" t="s">
        <v>291</v>
      </c>
      <c r="J30" s="5" t="s">
        <v>222</v>
      </c>
    </row>
    <row r="31" ht="120.0" customHeight="1">
      <c r="A31" s="7">
        <v>2.6030242037E10</v>
      </c>
      <c r="B31" s="10" t="s">
        <v>292</v>
      </c>
      <c r="C31" s="5" t="s">
        <v>293</v>
      </c>
      <c r="D31" s="5" t="s">
        <v>77</v>
      </c>
      <c r="E31" s="5" t="s">
        <v>294</v>
      </c>
      <c r="F31" s="5" t="s">
        <v>295</v>
      </c>
      <c r="G31" s="5" t="s">
        <v>296</v>
      </c>
      <c r="H31" s="5" t="s">
        <v>297</v>
      </c>
      <c r="I31" s="5" t="s">
        <v>298</v>
      </c>
      <c r="J31" s="5" t="s">
        <v>222</v>
      </c>
    </row>
    <row r="32" ht="120.0" customHeight="1">
      <c r="A32" s="7">
        <v>2.6030242039E10</v>
      </c>
      <c r="B32" s="10" t="s">
        <v>299</v>
      </c>
      <c r="C32" s="5" t="s">
        <v>300</v>
      </c>
      <c r="D32" s="5" t="s">
        <v>77</v>
      </c>
      <c r="E32" s="5" t="s">
        <v>301</v>
      </c>
      <c r="F32" s="5" t="s">
        <v>302</v>
      </c>
      <c r="G32" s="5" t="s">
        <v>303</v>
      </c>
      <c r="H32" s="5" t="s">
        <v>304</v>
      </c>
      <c r="I32" s="5" t="s">
        <v>305</v>
      </c>
      <c r="J32" s="5" t="s">
        <v>222</v>
      </c>
    </row>
    <row r="33" ht="120.0" customHeight="1">
      <c r="A33" s="7">
        <v>2.603024204E10</v>
      </c>
      <c r="B33" s="10" t="s">
        <v>306</v>
      </c>
      <c r="C33" s="5" t="s">
        <v>307</v>
      </c>
      <c r="D33" s="5" t="s">
        <v>77</v>
      </c>
      <c r="E33" s="5" t="s">
        <v>308</v>
      </c>
      <c r="F33" s="5" t="s">
        <v>309</v>
      </c>
      <c r="G33" s="5" t="s">
        <v>310</v>
      </c>
      <c r="H33" s="5" t="s">
        <v>311</v>
      </c>
      <c r="I33" s="5" t="s">
        <v>312</v>
      </c>
      <c r="J33" s="5" t="s">
        <v>222</v>
      </c>
    </row>
    <row r="34" ht="120.0" customHeight="1">
      <c r="A34" s="7">
        <v>2.6030242045E10</v>
      </c>
      <c r="B34" s="10" t="s">
        <v>313</v>
      </c>
      <c r="C34" s="5" t="s">
        <v>314</v>
      </c>
      <c r="D34" s="5" t="s">
        <v>77</v>
      </c>
      <c r="E34" s="5" t="s">
        <v>315</v>
      </c>
      <c r="F34" s="5" t="s">
        <v>316</v>
      </c>
      <c r="G34" s="5" t="s">
        <v>317</v>
      </c>
      <c r="H34" s="5" t="s">
        <v>318</v>
      </c>
      <c r="I34" s="5" t="s">
        <v>319</v>
      </c>
      <c r="J34" s="5" t="s">
        <v>222</v>
      </c>
    </row>
    <row r="35" ht="120.0" customHeight="1">
      <c r="A35" s="7">
        <v>2.6030242046E10</v>
      </c>
      <c r="B35" s="10" t="s">
        <v>320</v>
      </c>
      <c r="C35" s="5" t="s">
        <v>321</v>
      </c>
      <c r="D35" s="5" t="s">
        <v>77</v>
      </c>
      <c r="E35" s="5" t="s">
        <v>322</v>
      </c>
      <c r="F35" s="5" t="s">
        <v>323</v>
      </c>
      <c r="G35" s="5" t="s">
        <v>324</v>
      </c>
      <c r="H35" s="5" t="s">
        <v>325</v>
      </c>
      <c r="I35" s="5" t="s">
        <v>326</v>
      </c>
      <c r="J35" s="5" t="s">
        <v>222</v>
      </c>
    </row>
    <row r="36" ht="120.0" customHeight="1">
      <c r="A36" s="7">
        <v>2.6030242047E10</v>
      </c>
      <c r="B36" s="10" t="s">
        <v>327</v>
      </c>
      <c r="C36" s="5" t="s">
        <v>328</v>
      </c>
      <c r="D36" s="5" t="s">
        <v>77</v>
      </c>
      <c r="E36" s="5" t="s">
        <v>329</v>
      </c>
      <c r="F36" s="5" t="s">
        <v>330</v>
      </c>
      <c r="G36" s="5" t="s">
        <v>331</v>
      </c>
      <c r="H36" s="5" t="s">
        <v>332</v>
      </c>
      <c r="I36" s="5" t="s">
        <v>333</v>
      </c>
      <c r="J36" s="5" t="s">
        <v>222</v>
      </c>
    </row>
    <row r="37" ht="120.0" customHeight="1">
      <c r="A37" s="7">
        <v>2.6030242048E10</v>
      </c>
      <c r="B37" s="10" t="s">
        <v>334</v>
      </c>
      <c r="C37" s="5" t="s">
        <v>335</v>
      </c>
      <c r="D37" s="5" t="s">
        <v>90</v>
      </c>
      <c r="E37" s="5" t="s">
        <v>336</v>
      </c>
      <c r="F37" s="5" t="s">
        <v>337</v>
      </c>
      <c r="G37" s="5" t="s">
        <v>338</v>
      </c>
      <c r="H37" s="5" t="s">
        <v>339</v>
      </c>
      <c r="I37" s="5" t="s">
        <v>340</v>
      </c>
      <c r="J37" s="5" t="s">
        <v>341</v>
      </c>
    </row>
    <row r="38" ht="120.0" customHeight="1">
      <c r="A38" s="7">
        <v>2.6030242049E10</v>
      </c>
      <c r="B38" s="10" t="s">
        <v>342</v>
      </c>
      <c r="C38" s="5" t="s">
        <v>343</v>
      </c>
      <c r="D38" s="5" t="s">
        <v>90</v>
      </c>
      <c r="E38" s="5" t="s">
        <v>344</v>
      </c>
      <c r="F38" s="5" t="s">
        <v>345</v>
      </c>
      <c r="G38" s="5" t="s">
        <v>346</v>
      </c>
      <c r="H38" s="5" t="s">
        <v>347</v>
      </c>
      <c r="I38" s="5" t="s">
        <v>348</v>
      </c>
      <c r="J38" s="5" t="s">
        <v>341</v>
      </c>
    </row>
    <row r="39" ht="120.0" customHeight="1">
      <c r="A39" s="7">
        <v>2.603024205E10</v>
      </c>
      <c r="B39" s="10" t="s">
        <v>349</v>
      </c>
      <c r="C39" s="5" t="s">
        <v>350</v>
      </c>
      <c r="D39" s="5" t="s">
        <v>90</v>
      </c>
      <c r="E39" s="5" t="s">
        <v>351</v>
      </c>
      <c r="F39" s="5" t="s">
        <v>352</v>
      </c>
      <c r="G39" s="5" t="s">
        <v>353</v>
      </c>
      <c r="H39" s="5" t="s">
        <v>354</v>
      </c>
      <c r="I39" s="5" t="s">
        <v>355</v>
      </c>
      <c r="J39" s="5" t="s">
        <v>341</v>
      </c>
    </row>
    <row r="40" ht="120.0" customHeight="1">
      <c r="A40" s="7">
        <v>2.6030242051E10</v>
      </c>
      <c r="B40" s="10" t="s">
        <v>356</v>
      </c>
      <c r="C40" s="5" t="s">
        <v>357</v>
      </c>
      <c r="D40" s="5" t="s">
        <v>90</v>
      </c>
      <c r="E40" s="5" t="s">
        <v>358</v>
      </c>
      <c r="F40" s="5" t="s">
        <v>359</v>
      </c>
      <c r="G40" s="5" t="s">
        <v>360</v>
      </c>
      <c r="H40" s="5" t="s">
        <v>361</v>
      </c>
      <c r="I40" s="5" t="s">
        <v>362</v>
      </c>
      <c r="J40" s="5" t="s">
        <v>341</v>
      </c>
    </row>
    <row r="41" ht="120.0" customHeight="1">
      <c r="A41" s="7">
        <v>2.6030242053E10</v>
      </c>
      <c r="B41" s="10" t="s">
        <v>363</v>
      </c>
      <c r="C41" s="5" t="s">
        <v>364</v>
      </c>
      <c r="D41" s="5" t="s">
        <v>90</v>
      </c>
      <c r="E41" s="5" t="s">
        <v>365</v>
      </c>
      <c r="F41" s="5" t="s">
        <v>366</v>
      </c>
      <c r="G41" s="5" t="s">
        <v>367</v>
      </c>
      <c r="H41" s="5" t="s">
        <v>368</v>
      </c>
      <c r="I41" s="5" t="s">
        <v>369</v>
      </c>
      <c r="J41" s="5" t="s">
        <v>341</v>
      </c>
    </row>
    <row r="42" ht="120.0" customHeight="1">
      <c r="A42" s="7">
        <v>2.6030242055E10</v>
      </c>
      <c r="B42" s="10" t="s">
        <v>370</v>
      </c>
      <c r="C42" s="5" t="s">
        <v>371</v>
      </c>
      <c r="D42" s="5" t="s">
        <v>90</v>
      </c>
      <c r="E42" s="5" t="s">
        <v>372</v>
      </c>
      <c r="F42" s="5" t="s">
        <v>373</v>
      </c>
      <c r="G42" s="5" t="s">
        <v>374</v>
      </c>
      <c r="H42" s="5" t="s">
        <v>375</v>
      </c>
      <c r="I42" s="5" t="s">
        <v>376</v>
      </c>
      <c r="J42" s="5" t="s">
        <v>341</v>
      </c>
    </row>
    <row r="43" ht="120.0" customHeight="1">
      <c r="A43" s="7">
        <v>2.6030242056E10</v>
      </c>
      <c r="B43" s="10" t="s">
        <v>377</v>
      </c>
      <c r="C43" s="5" t="s">
        <v>378</v>
      </c>
      <c r="D43" s="5" t="s">
        <v>90</v>
      </c>
      <c r="E43" s="5" t="s">
        <v>379</v>
      </c>
      <c r="F43" s="5" t="s">
        <v>380</v>
      </c>
      <c r="G43" s="5" t="s">
        <v>381</v>
      </c>
      <c r="H43" s="5" t="s">
        <v>382</v>
      </c>
      <c r="I43" s="5" t="s">
        <v>383</v>
      </c>
      <c r="J43" s="5" t="s">
        <v>341</v>
      </c>
    </row>
    <row r="44" ht="120.0" customHeight="1">
      <c r="A44" s="7">
        <v>2.6030242059E10</v>
      </c>
      <c r="B44" s="10" t="s">
        <v>384</v>
      </c>
      <c r="C44" s="5" t="s">
        <v>385</v>
      </c>
      <c r="D44" s="5" t="s">
        <v>90</v>
      </c>
      <c r="E44" s="5" t="s">
        <v>386</v>
      </c>
      <c r="F44" s="5" t="s">
        <v>387</v>
      </c>
      <c r="G44" s="5" t="s">
        <v>388</v>
      </c>
      <c r="H44" s="5" t="s">
        <v>389</v>
      </c>
      <c r="I44" s="5" t="s">
        <v>390</v>
      </c>
      <c r="J44" s="5" t="s">
        <v>341</v>
      </c>
    </row>
    <row r="45" ht="120.0" customHeight="1">
      <c r="A45" s="7">
        <v>2.603024206E10</v>
      </c>
      <c r="B45" s="10" t="s">
        <v>391</v>
      </c>
      <c r="C45" s="5" t="s">
        <v>392</v>
      </c>
      <c r="D45" s="5" t="s">
        <v>90</v>
      </c>
      <c r="E45" s="5" t="s">
        <v>393</v>
      </c>
      <c r="F45" s="5" t="s">
        <v>394</v>
      </c>
      <c r="G45" s="5" t="s">
        <v>395</v>
      </c>
      <c r="H45" s="5" t="s">
        <v>396</v>
      </c>
      <c r="I45" s="5" t="s">
        <v>397</v>
      </c>
      <c r="J45" s="5" t="s">
        <v>341</v>
      </c>
    </row>
    <row r="46" ht="120.0" customHeight="1">
      <c r="A46" s="7">
        <v>2.6030242061E10</v>
      </c>
      <c r="B46" s="10" t="s">
        <v>398</v>
      </c>
      <c r="C46" s="5" t="s">
        <v>399</v>
      </c>
      <c r="D46" s="5" t="s">
        <v>90</v>
      </c>
      <c r="E46" s="5" t="s">
        <v>400</v>
      </c>
      <c r="F46" s="5" t="s">
        <v>401</v>
      </c>
      <c r="G46" s="5" t="s">
        <v>402</v>
      </c>
      <c r="H46" s="5" t="s">
        <v>403</v>
      </c>
      <c r="I46" s="5" t="s">
        <v>404</v>
      </c>
      <c r="J46" s="5" t="s">
        <v>341</v>
      </c>
    </row>
    <row r="47" ht="120.0" customHeight="1">
      <c r="A47" s="7">
        <v>2.6030242062E10</v>
      </c>
      <c r="B47" s="10" t="s">
        <v>405</v>
      </c>
      <c r="C47" s="5" t="s">
        <v>406</v>
      </c>
      <c r="D47" s="5" t="s">
        <v>90</v>
      </c>
      <c r="E47" s="5" t="s">
        <v>407</v>
      </c>
      <c r="F47" s="5" t="s">
        <v>408</v>
      </c>
      <c r="G47" s="5" t="s">
        <v>409</v>
      </c>
      <c r="H47" s="5" t="s">
        <v>410</v>
      </c>
      <c r="I47" s="5" t="s">
        <v>411</v>
      </c>
      <c r="J47" s="5" t="s">
        <v>341</v>
      </c>
    </row>
    <row r="48" ht="120.0" customHeight="1">
      <c r="A48" s="7">
        <v>2.6030242063E10</v>
      </c>
      <c r="B48" s="10" t="s">
        <v>412</v>
      </c>
      <c r="C48" s="5" t="s">
        <v>413</v>
      </c>
      <c r="D48" s="5" t="s">
        <v>90</v>
      </c>
      <c r="E48" s="5" t="s">
        <v>414</v>
      </c>
      <c r="F48" s="5" t="s">
        <v>415</v>
      </c>
      <c r="G48" s="5" t="s">
        <v>416</v>
      </c>
      <c r="H48" s="5" t="s">
        <v>417</v>
      </c>
      <c r="I48" s="5" t="s">
        <v>418</v>
      </c>
      <c r="J48" s="5" t="s">
        <v>341</v>
      </c>
    </row>
    <row r="49" ht="120.0" customHeight="1">
      <c r="A49" s="7">
        <v>2.6030242066E10</v>
      </c>
      <c r="B49" s="10" t="s">
        <v>419</v>
      </c>
      <c r="C49" s="5" t="s">
        <v>420</v>
      </c>
      <c r="D49" s="5" t="s">
        <v>90</v>
      </c>
      <c r="E49" s="5" t="s">
        <v>421</v>
      </c>
      <c r="F49" s="5" t="s">
        <v>422</v>
      </c>
      <c r="G49" s="5" t="s">
        <v>423</v>
      </c>
      <c r="H49" s="5" t="s">
        <v>424</v>
      </c>
      <c r="I49" s="5" t="s">
        <v>425</v>
      </c>
      <c r="J49" s="5" t="s">
        <v>341</v>
      </c>
    </row>
    <row r="50" ht="120.0" customHeight="1">
      <c r="A50" s="7">
        <v>2.6030242068E10</v>
      </c>
      <c r="B50" s="10" t="s">
        <v>426</v>
      </c>
      <c r="C50" s="5" t="s">
        <v>427</v>
      </c>
      <c r="D50" s="5" t="s">
        <v>90</v>
      </c>
      <c r="E50" s="5" t="s">
        <v>428</v>
      </c>
      <c r="F50" s="5" t="s">
        <v>429</v>
      </c>
      <c r="G50" s="5" t="s">
        <v>430</v>
      </c>
      <c r="H50" s="5" t="s">
        <v>431</v>
      </c>
      <c r="I50" s="5" t="s">
        <v>432</v>
      </c>
      <c r="J50" s="5" t="s">
        <v>341</v>
      </c>
    </row>
    <row r="51" ht="120.0" customHeight="1">
      <c r="A51" s="7">
        <v>2.6030242069E10</v>
      </c>
      <c r="B51" s="10" t="s">
        <v>433</v>
      </c>
      <c r="C51" s="5" t="s">
        <v>434</v>
      </c>
      <c r="D51" s="5" t="s">
        <v>90</v>
      </c>
      <c r="E51" s="5" t="s">
        <v>435</v>
      </c>
      <c r="F51" s="5" t="s">
        <v>436</v>
      </c>
      <c r="G51" s="5" t="s">
        <v>437</v>
      </c>
      <c r="H51" s="5" t="s">
        <v>438</v>
      </c>
      <c r="I51" s="5" t="s">
        <v>439</v>
      </c>
      <c r="J51" s="5" t="s">
        <v>341</v>
      </c>
    </row>
    <row r="52" ht="120.0" customHeight="1">
      <c r="A52" s="7">
        <v>2.6030242071E10</v>
      </c>
      <c r="B52" s="10" t="s">
        <v>440</v>
      </c>
      <c r="C52" s="5" t="s">
        <v>441</v>
      </c>
      <c r="D52" s="5" t="s">
        <v>99</v>
      </c>
      <c r="E52" s="5" t="s">
        <v>442</v>
      </c>
      <c r="F52" s="5" t="s">
        <v>443</v>
      </c>
      <c r="G52" s="5" t="s">
        <v>444</v>
      </c>
      <c r="H52" s="5" t="s">
        <v>445</v>
      </c>
      <c r="I52" s="5" t="s">
        <v>446</v>
      </c>
      <c r="J52" s="5" t="s">
        <v>447</v>
      </c>
    </row>
    <row r="53" ht="120.0" customHeight="1">
      <c r="A53" s="7">
        <v>2.6030242072E10</v>
      </c>
      <c r="B53" s="10" t="s">
        <v>448</v>
      </c>
      <c r="C53" s="5" t="s">
        <v>449</v>
      </c>
      <c r="D53" s="5" t="s">
        <v>99</v>
      </c>
      <c r="E53" s="5" t="s">
        <v>450</v>
      </c>
      <c r="F53" s="5" t="s">
        <v>451</v>
      </c>
      <c r="G53" s="5" t="s">
        <v>452</v>
      </c>
      <c r="H53" s="5" t="s">
        <v>453</v>
      </c>
      <c r="I53" s="5" t="s">
        <v>454</v>
      </c>
      <c r="J53" s="5" t="s">
        <v>70</v>
      </c>
    </row>
    <row r="54" ht="120.0" customHeight="1">
      <c r="A54" s="7">
        <v>2.6030242073E10</v>
      </c>
      <c r="B54" s="14" t="s">
        <v>455</v>
      </c>
      <c r="C54" s="5" t="s">
        <v>456</v>
      </c>
      <c r="D54" s="5" t="s">
        <v>99</v>
      </c>
      <c r="E54" s="5" t="s">
        <v>457</v>
      </c>
      <c r="F54" s="5" t="s">
        <v>458</v>
      </c>
      <c r="G54" s="5" t="s">
        <v>459</v>
      </c>
      <c r="H54" s="5" t="s">
        <v>460</v>
      </c>
      <c r="I54" s="5" t="s">
        <v>461</v>
      </c>
      <c r="J54" s="5" t="s">
        <v>70</v>
      </c>
    </row>
    <row r="55" ht="120.0" customHeight="1">
      <c r="C55" s="5"/>
      <c r="D55" s="5"/>
      <c r="E55" s="5"/>
      <c r="F55" s="5"/>
      <c r="G55" s="5"/>
      <c r="H55" s="5"/>
      <c r="I55" s="5"/>
      <c r="J55" s="5"/>
    </row>
    <row r="56" ht="120.0" customHeight="1">
      <c r="C56" s="5"/>
      <c r="D56" s="5"/>
      <c r="E56" s="5"/>
      <c r="F56" s="5"/>
      <c r="G56" s="5"/>
      <c r="H56" s="5"/>
      <c r="I56" s="5"/>
      <c r="J56" s="5"/>
    </row>
    <row r="57" ht="120.0" customHeight="1">
      <c r="C57" s="5"/>
      <c r="D57" s="5"/>
      <c r="E57" s="5"/>
      <c r="F57" s="5"/>
      <c r="G57" s="5"/>
      <c r="H57" s="5"/>
      <c r="I57" s="5"/>
      <c r="J57" s="5"/>
    </row>
    <row r="58" ht="120.0" customHeight="1">
      <c r="C58" s="5"/>
      <c r="D58" s="5"/>
      <c r="E58" s="5"/>
      <c r="F58" s="5"/>
      <c r="G58" s="5"/>
      <c r="H58" s="5"/>
      <c r="I58" s="5"/>
      <c r="J58" s="5"/>
    </row>
    <row r="59" ht="120.0" customHeight="1">
      <c r="C59" s="5"/>
      <c r="D59" s="5"/>
      <c r="E59" s="5"/>
      <c r="F59" s="5"/>
      <c r="G59" s="5"/>
      <c r="H59" s="5"/>
      <c r="I59" s="5"/>
      <c r="J59" s="5"/>
    </row>
    <row r="60" ht="120.0" customHeight="1">
      <c r="C60" s="5"/>
      <c r="D60" s="5"/>
      <c r="E60" s="5"/>
      <c r="F60" s="5"/>
      <c r="G60" s="5"/>
      <c r="H60" s="5"/>
      <c r="I60" s="5"/>
      <c r="J60" s="5"/>
    </row>
    <row r="61" ht="120.0" customHeight="1">
      <c r="C61" s="5"/>
      <c r="D61" s="5"/>
      <c r="E61" s="5"/>
      <c r="F61" s="5"/>
      <c r="G61" s="5"/>
      <c r="H61" s="5"/>
      <c r="I61" s="5"/>
      <c r="J61" s="5"/>
    </row>
    <row r="62" ht="120.0" customHeight="1">
      <c r="C62" s="5"/>
      <c r="D62" s="5"/>
      <c r="E62" s="5"/>
      <c r="F62" s="5"/>
      <c r="G62" s="5"/>
      <c r="H62" s="5"/>
      <c r="I62" s="5"/>
      <c r="J62" s="5"/>
    </row>
    <row r="63" ht="120.0" customHeight="1">
      <c r="C63" s="5"/>
      <c r="D63" s="5"/>
      <c r="E63" s="5"/>
      <c r="F63" s="5"/>
      <c r="G63" s="5"/>
      <c r="H63" s="5"/>
      <c r="I63" s="5"/>
      <c r="J63" s="5"/>
    </row>
    <row r="64" ht="120.0" customHeight="1">
      <c r="C64" s="5"/>
      <c r="D64" s="5"/>
      <c r="E64" s="5"/>
      <c r="F64" s="5"/>
      <c r="G64" s="5"/>
      <c r="H64" s="5"/>
      <c r="I64" s="5"/>
      <c r="J64" s="5"/>
    </row>
    <row r="65" ht="120.0" customHeight="1">
      <c r="C65" s="5"/>
      <c r="D65" s="5"/>
      <c r="E65" s="5"/>
      <c r="F65" s="5"/>
      <c r="G65" s="5"/>
      <c r="H65" s="5"/>
      <c r="I65" s="5"/>
      <c r="J65" s="5"/>
    </row>
    <row r="66" ht="120.0" customHeight="1">
      <c r="C66" s="5"/>
      <c r="D66" s="5"/>
      <c r="E66" s="5"/>
      <c r="F66" s="5"/>
      <c r="G66" s="5"/>
      <c r="H66" s="5"/>
      <c r="I66" s="5"/>
      <c r="J66" s="5"/>
    </row>
    <row r="67" ht="120.0" customHeight="1">
      <c r="C67" s="5"/>
      <c r="D67" s="5"/>
      <c r="E67" s="5"/>
      <c r="F67" s="5"/>
      <c r="G67" s="5"/>
      <c r="H67" s="5"/>
      <c r="I67" s="5"/>
      <c r="J67" s="5"/>
    </row>
    <row r="68" ht="120.0" customHeight="1">
      <c r="C68" s="5"/>
      <c r="D68" s="5"/>
      <c r="E68" s="5"/>
      <c r="F68" s="5"/>
      <c r="G68" s="5"/>
      <c r="H68" s="5"/>
      <c r="I68" s="5"/>
      <c r="J68" s="5"/>
    </row>
    <row r="69" ht="120.0" customHeight="1">
      <c r="C69" s="5"/>
      <c r="D69" s="5"/>
      <c r="E69" s="5"/>
      <c r="F69" s="5"/>
      <c r="G69" s="5"/>
      <c r="H69" s="5"/>
      <c r="I69" s="5"/>
      <c r="J69" s="5"/>
    </row>
    <row r="70" ht="120.0" customHeight="1">
      <c r="C70" s="5"/>
      <c r="D70" s="5"/>
      <c r="E70" s="5"/>
      <c r="F70" s="5"/>
      <c r="G70" s="5"/>
      <c r="H70" s="5"/>
      <c r="I70" s="5"/>
      <c r="J70" s="5"/>
    </row>
    <row r="71" ht="120.0" customHeight="1">
      <c r="C71" s="5"/>
      <c r="D71" s="5"/>
      <c r="E71" s="5"/>
      <c r="F71" s="5"/>
      <c r="G71" s="5"/>
      <c r="H71" s="5"/>
      <c r="I71" s="5"/>
      <c r="J71" s="5"/>
    </row>
    <row r="72" ht="120.0" customHeight="1">
      <c r="C72" s="5"/>
      <c r="D72" s="5"/>
      <c r="E72" s="5"/>
      <c r="F72" s="5"/>
      <c r="G72" s="5"/>
      <c r="H72" s="5"/>
      <c r="I72" s="5"/>
      <c r="J72" s="5"/>
    </row>
    <row r="73" ht="120.0" customHeight="1">
      <c r="C73" s="5"/>
      <c r="D73" s="5"/>
      <c r="E73" s="5"/>
      <c r="F73" s="5"/>
      <c r="G73" s="5"/>
      <c r="H73" s="5"/>
      <c r="I73" s="5"/>
      <c r="J73" s="5"/>
    </row>
    <row r="74" ht="120.0" customHeight="1">
      <c r="C74" s="5"/>
      <c r="D74" s="5"/>
      <c r="E74" s="5"/>
      <c r="F74" s="5"/>
      <c r="G74" s="5"/>
      <c r="H74" s="5"/>
      <c r="I74" s="5"/>
      <c r="J74" s="5"/>
    </row>
    <row r="75" ht="120.0" customHeight="1">
      <c r="C75" s="5"/>
      <c r="D75" s="5"/>
      <c r="E75" s="5"/>
      <c r="F75" s="5"/>
      <c r="G75" s="5"/>
      <c r="H75" s="5"/>
      <c r="I75" s="5"/>
      <c r="J75" s="5"/>
    </row>
    <row r="76" ht="120.0" customHeight="1">
      <c r="C76" s="5"/>
      <c r="D76" s="5"/>
      <c r="E76" s="5"/>
      <c r="F76" s="5"/>
      <c r="G76" s="5"/>
      <c r="H76" s="5"/>
      <c r="I76" s="5"/>
      <c r="J76" s="5"/>
    </row>
    <row r="77" ht="120.0" customHeight="1">
      <c r="C77" s="5"/>
      <c r="D77" s="5"/>
      <c r="E77" s="5"/>
      <c r="F77" s="5"/>
      <c r="G77" s="5"/>
      <c r="H77" s="5"/>
      <c r="I77" s="5"/>
      <c r="J77" s="5"/>
    </row>
    <row r="78" ht="120.0" customHeight="1">
      <c r="C78" s="5"/>
      <c r="D78" s="5"/>
      <c r="E78" s="5"/>
      <c r="F78" s="5"/>
      <c r="G78" s="5"/>
      <c r="H78" s="5"/>
      <c r="I78" s="5"/>
      <c r="J78" s="5"/>
    </row>
    <row r="79" ht="120.0" customHeight="1">
      <c r="C79" s="5"/>
      <c r="D79" s="5"/>
      <c r="E79" s="5"/>
      <c r="F79" s="5"/>
      <c r="G79" s="5"/>
      <c r="H79" s="5"/>
      <c r="I79" s="5"/>
      <c r="J79" s="5"/>
    </row>
    <row r="80" ht="120.0" customHeight="1">
      <c r="C80" s="5"/>
      <c r="D80" s="5"/>
      <c r="E80" s="5"/>
      <c r="F80" s="5"/>
      <c r="G80" s="5"/>
      <c r="H80" s="5"/>
      <c r="I80" s="5"/>
      <c r="J80" s="5"/>
    </row>
    <row r="81" ht="120.0" customHeight="1">
      <c r="C81" s="5"/>
      <c r="D81" s="5"/>
      <c r="E81" s="5"/>
      <c r="F81" s="5"/>
      <c r="G81" s="5"/>
      <c r="H81" s="5"/>
      <c r="I81" s="5"/>
      <c r="J81" s="5"/>
    </row>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autoFilter ref="$C$1:$J$81"/>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0"/>
    <col customWidth="1" min="2" max="2" width="18.0"/>
    <col customWidth="1" min="3" max="26" width="8.63"/>
  </cols>
  <sheetData>
    <row r="1" ht="12.0" customHeight="1">
      <c r="A1" s="2" t="s">
        <v>2</v>
      </c>
      <c r="B1" s="2" t="s">
        <v>5</v>
      </c>
    </row>
    <row r="2" ht="12.0" customHeight="1">
      <c r="A2" s="4" t="s">
        <v>6</v>
      </c>
      <c r="B2" s="4">
        <f>COUNTIF(Tasks!$D$2:$D$81,A2)</f>
        <v>20</v>
      </c>
    </row>
    <row r="3" ht="12.0" customHeight="1">
      <c r="A3" s="4" t="s">
        <v>77</v>
      </c>
      <c r="B3" s="4">
        <f>COUNTIF(Tasks!$D$2:$D$81,A3)</f>
        <v>15</v>
      </c>
    </row>
    <row r="4" ht="12.0" customHeight="1">
      <c r="A4" s="4" t="s">
        <v>90</v>
      </c>
      <c r="B4" s="4">
        <f>COUNTIF(Tasks!$D$2:$D$81,A4)</f>
        <v>15</v>
      </c>
    </row>
    <row r="5" ht="12.0" customHeight="1">
      <c r="A5" s="4" t="s">
        <v>99</v>
      </c>
      <c r="B5" s="4">
        <f>COUNTIF(Tasks!$D$2:$D$81,A5)</f>
        <v>3</v>
      </c>
    </row>
    <row r="6" ht="12.0" customHeight="1">
      <c r="A6" s="4" t="s">
        <v>108</v>
      </c>
      <c r="B6" s="4">
        <f>COUNTIF(Tasks!$D$2:$D$81,A6)</f>
        <v>0</v>
      </c>
    </row>
    <row r="7" ht="12.0" customHeight="1">
      <c r="A7" s="4" t="s">
        <v>119</v>
      </c>
      <c r="B7" s="4">
        <f>COUNTIF(Tasks!$D$2:$D$81,A7)</f>
        <v>0</v>
      </c>
    </row>
    <row r="8" ht="12.0" customHeight="1">
      <c r="A8" s="9" t="s">
        <v>74</v>
      </c>
      <c r="B8" s="9">
        <f>SUM(B2:B7)</f>
        <v>53</v>
      </c>
    </row>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0"/>
    <col customWidth="1" min="2" max="2" width="8.0"/>
    <col customWidth="1" min="3" max="3" width="55.0"/>
    <col customWidth="1" min="4" max="4" width="24.0"/>
    <col customWidth="1" min="5" max="6" width="20.0"/>
    <col customWidth="1" min="7" max="7" width="18.0"/>
    <col customWidth="1" min="8" max="26" width="8.63"/>
  </cols>
  <sheetData>
    <row r="1" ht="12.0" customHeight="1">
      <c r="A1" s="2" t="s">
        <v>3</v>
      </c>
      <c r="B1" s="2" t="s">
        <v>19</v>
      </c>
      <c r="C1" s="2" t="s">
        <v>22</v>
      </c>
      <c r="D1" s="2" t="s">
        <v>25</v>
      </c>
      <c r="E1" s="2" t="s">
        <v>28</v>
      </c>
      <c r="F1" s="2" t="s">
        <v>33</v>
      </c>
      <c r="G1" s="2" t="s">
        <v>35</v>
      </c>
    </row>
    <row r="2" ht="45.0" customHeight="1">
      <c r="A2" s="5" t="s">
        <v>37</v>
      </c>
      <c r="B2" s="5">
        <v>8.0</v>
      </c>
      <c r="C2" s="5" t="s">
        <v>38</v>
      </c>
      <c r="D2" s="5" t="s">
        <v>39</v>
      </c>
      <c r="E2" s="5" t="s">
        <v>40</v>
      </c>
      <c r="F2" s="5" t="s">
        <v>41</v>
      </c>
      <c r="G2" s="5" t="s">
        <v>42</v>
      </c>
    </row>
    <row r="3" ht="45.0" customHeight="1">
      <c r="A3" s="5" t="s">
        <v>43</v>
      </c>
      <c r="B3" s="5">
        <v>7.0</v>
      </c>
      <c r="C3" s="5" t="s">
        <v>44</v>
      </c>
      <c r="D3" s="5" t="s">
        <v>45</v>
      </c>
      <c r="E3" s="5" t="s">
        <v>46</v>
      </c>
      <c r="F3" s="5" t="s">
        <v>47</v>
      </c>
      <c r="G3" s="5" t="s">
        <v>48</v>
      </c>
    </row>
    <row r="4" ht="45.0" customHeight="1">
      <c r="A4" s="5" t="s">
        <v>49</v>
      </c>
      <c r="B4" s="5">
        <v>5.0</v>
      </c>
      <c r="C4" s="5" t="s">
        <v>51</v>
      </c>
      <c r="D4" s="5" t="s">
        <v>52</v>
      </c>
      <c r="E4" s="5" t="s">
        <v>53</v>
      </c>
      <c r="F4" s="5" t="s">
        <v>55</v>
      </c>
      <c r="G4" s="5" t="s">
        <v>56</v>
      </c>
    </row>
    <row r="5" ht="45.0" customHeight="1">
      <c r="A5" s="5" t="s">
        <v>57</v>
      </c>
      <c r="B5" s="5">
        <v>6.0</v>
      </c>
      <c r="C5" s="5" t="s">
        <v>59</v>
      </c>
      <c r="D5" s="5" t="s">
        <v>60</v>
      </c>
      <c r="E5" s="5" t="s">
        <v>62</v>
      </c>
      <c r="F5" s="5" t="s">
        <v>64</v>
      </c>
      <c r="G5" s="5" t="s">
        <v>65</v>
      </c>
    </row>
    <row r="6" ht="45.0" customHeight="1">
      <c r="A6" s="5" t="s">
        <v>67</v>
      </c>
      <c r="B6" s="5">
        <v>4.0</v>
      </c>
      <c r="C6" s="5" t="s">
        <v>69</v>
      </c>
      <c r="D6" s="5" t="s">
        <v>71</v>
      </c>
      <c r="E6" s="5" t="s">
        <v>72</v>
      </c>
      <c r="F6" s="5" t="s">
        <v>73</v>
      </c>
      <c r="G6" s="5" t="s">
        <v>65</v>
      </c>
    </row>
    <row r="7" ht="12.0" customHeight="1">
      <c r="A7" s="9" t="s">
        <v>74</v>
      </c>
      <c r="B7" s="9">
        <f>SUM(B2:B6)</f>
        <v>30</v>
      </c>
    </row>
    <row r="8" ht="12.0" customHeight="1"/>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0"/>
    <col customWidth="1" min="2" max="2" width="22.0"/>
    <col customWidth="1" min="3" max="3" width="9.0"/>
    <col customWidth="1" min="4" max="7" width="12.0"/>
    <col customWidth="1" min="8" max="9" width="14.0"/>
    <col customWidth="1" min="10" max="10" width="11.0"/>
    <col customWidth="1" min="11" max="11" width="14.0"/>
    <col customWidth="1" min="12" max="12" width="40.0"/>
    <col customWidth="1" min="13" max="26" width="8.63"/>
  </cols>
  <sheetData>
    <row r="1" ht="12.0" customHeight="1">
      <c r="A1" s="9" t="s">
        <v>220</v>
      </c>
    </row>
    <row r="2" ht="12.0" customHeight="1">
      <c r="A2" s="2" t="s">
        <v>225</v>
      </c>
      <c r="B2" s="2" t="s">
        <v>227</v>
      </c>
      <c r="C2" s="2" t="s">
        <v>15</v>
      </c>
      <c r="D2" s="2" t="s">
        <v>231</v>
      </c>
      <c r="E2" s="2" t="s">
        <v>233</v>
      </c>
      <c r="F2" s="2" t="s">
        <v>235</v>
      </c>
      <c r="G2" s="2" t="s">
        <v>237</v>
      </c>
      <c r="H2" s="2" t="s">
        <v>239</v>
      </c>
      <c r="I2" s="2" t="s">
        <v>241</v>
      </c>
      <c r="J2" s="2" t="s">
        <v>243</v>
      </c>
      <c r="K2" s="2" t="s">
        <v>246</v>
      </c>
      <c r="L2" s="2" t="s">
        <v>247</v>
      </c>
    </row>
    <row r="3" ht="12.0" customHeight="1">
      <c r="A3" s="11" t="s">
        <v>250</v>
      </c>
      <c r="B3" s="11" t="s">
        <v>256</v>
      </c>
      <c r="C3" s="11" t="s">
        <v>115</v>
      </c>
      <c r="D3" s="11">
        <v>7.0</v>
      </c>
      <c r="E3" s="11">
        <v>6.0</v>
      </c>
      <c r="F3" s="11">
        <v>4.0</v>
      </c>
      <c r="G3" s="11">
        <v>5.0</v>
      </c>
      <c r="H3" s="11">
        <v>3.0</v>
      </c>
      <c r="I3" s="11">
        <v>0.0</v>
      </c>
      <c r="J3" s="12">
        <f t="shared" ref="J3:J82" si="1">IF(COUNT(D3:H3)=0,"",MAX(0,SUM(D3:H3)+N(I3)))</f>
        <v>25</v>
      </c>
      <c r="K3" s="12" t="str">
        <f t="shared" ref="K3:K82" si="2">IF(J3="","",IF(J3&gt;=27,"Outstanding",IF(J3&gt;=22,"Very good",IF(J3&gt;=17,"Good",IF(J3&gt;=12,"Satisfactory","Needs rework")))))</f>
        <v>Very good</v>
      </c>
      <c r="L3" s="13"/>
    </row>
    <row r="4" ht="12.0" customHeight="1">
      <c r="A4" s="13"/>
      <c r="B4" s="13"/>
      <c r="C4" s="13"/>
      <c r="D4" s="13"/>
      <c r="E4" s="13"/>
      <c r="F4" s="13"/>
      <c r="G4" s="13"/>
      <c r="H4" s="13"/>
      <c r="I4" s="13"/>
      <c r="J4" s="12" t="str">
        <f t="shared" si="1"/>
        <v/>
      </c>
      <c r="K4" s="12" t="str">
        <f t="shared" si="2"/>
        <v/>
      </c>
      <c r="L4" s="13"/>
    </row>
    <row r="5" ht="12.0" customHeight="1">
      <c r="A5" s="13"/>
      <c r="B5" s="13"/>
      <c r="C5" s="13"/>
      <c r="D5" s="13"/>
      <c r="E5" s="13"/>
      <c r="F5" s="13"/>
      <c r="G5" s="13"/>
      <c r="H5" s="13"/>
      <c r="I5" s="13"/>
      <c r="J5" s="12" t="str">
        <f t="shared" si="1"/>
        <v/>
      </c>
      <c r="K5" s="12" t="str">
        <f t="shared" si="2"/>
        <v/>
      </c>
      <c r="L5" s="13"/>
    </row>
    <row r="6" ht="12.0" customHeight="1">
      <c r="A6" s="13"/>
      <c r="B6" s="13"/>
      <c r="C6" s="13"/>
      <c r="D6" s="13"/>
      <c r="E6" s="13"/>
      <c r="F6" s="13"/>
      <c r="G6" s="13"/>
      <c r="H6" s="13"/>
      <c r="I6" s="13"/>
      <c r="J6" s="12" t="str">
        <f t="shared" si="1"/>
        <v/>
      </c>
      <c r="K6" s="12" t="str">
        <f t="shared" si="2"/>
        <v/>
      </c>
      <c r="L6" s="13"/>
    </row>
    <row r="7" ht="12.0" customHeight="1">
      <c r="A7" s="13"/>
      <c r="B7" s="13"/>
      <c r="C7" s="13"/>
      <c r="D7" s="13"/>
      <c r="E7" s="13"/>
      <c r="F7" s="13"/>
      <c r="G7" s="13"/>
      <c r="H7" s="13"/>
      <c r="I7" s="13"/>
      <c r="J7" s="12" t="str">
        <f t="shared" si="1"/>
        <v/>
      </c>
      <c r="K7" s="12" t="str">
        <f t="shared" si="2"/>
        <v/>
      </c>
      <c r="L7" s="13"/>
    </row>
    <row r="8" ht="12.0" customHeight="1">
      <c r="A8" s="13"/>
      <c r="B8" s="13"/>
      <c r="C8" s="13"/>
      <c r="D8" s="13"/>
      <c r="E8" s="13"/>
      <c r="F8" s="13"/>
      <c r="G8" s="13"/>
      <c r="H8" s="13"/>
      <c r="I8" s="13"/>
      <c r="J8" s="12" t="str">
        <f t="shared" si="1"/>
        <v/>
      </c>
      <c r="K8" s="12" t="str">
        <f t="shared" si="2"/>
        <v/>
      </c>
      <c r="L8" s="13"/>
    </row>
    <row r="9" ht="12.0" customHeight="1">
      <c r="A9" s="13"/>
      <c r="B9" s="13"/>
      <c r="C9" s="13"/>
      <c r="D9" s="13"/>
      <c r="E9" s="13"/>
      <c r="F9" s="13"/>
      <c r="G9" s="13"/>
      <c r="H9" s="13"/>
      <c r="I9" s="13"/>
      <c r="J9" s="12" t="str">
        <f t="shared" si="1"/>
        <v/>
      </c>
      <c r="K9" s="12" t="str">
        <f t="shared" si="2"/>
        <v/>
      </c>
      <c r="L9" s="13"/>
    </row>
    <row r="10" ht="12.0" customHeight="1">
      <c r="A10" s="13"/>
      <c r="B10" s="13"/>
      <c r="C10" s="13"/>
      <c r="D10" s="13"/>
      <c r="E10" s="13"/>
      <c r="F10" s="13"/>
      <c r="G10" s="13"/>
      <c r="H10" s="13"/>
      <c r="I10" s="13"/>
      <c r="J10" s="12" t="str">
        <f t="shared" si="1"/>
        <v/>
      </c>
      <c r="K10" s="12" t="str">
        <f t="shared" si="2"/>
        <v/>
      </c>
      <c r="L10" s="13"/>
    </row>
    <row r="11" ht="12.0" customHeight="1">
      <c r="A11" s="13"/>
      <c r="B11" s="13"/>
      <c r="C11" s="13"/>
      <c r="D11" s="13"/>
      <c r="E11" s="13"/>
      <c r="F11" s="13"/>
      <c r="G11" s="13"/>
      <c r="H11" s="13"/>
      <c r="I11" s="13"/>
      <c r="J11" s="12" t="str">
        <f t="shared" si="1"/>
        <v/>
      </c>
      <c r="K11" s="12" t="str">
        <f t="shared" si="2"/>
        <v/>
      </c>
      <c r="L11" s="13"/>
    </row>
    <row r="12" ht="12.0" customHeight="1">
      <c r="A12" s="13"/>
      <c r="B12" s="13"/>
      <c r="C12" s="13"/>
      <c r="D12" s="13"/>
      <c r="E12" s="13"/>
      <c r="F12" s="13"/>
      <c r="G12" s="13"/>
      <c r="H12" s="13"/>
      <c r="I12" s="13"/>
      <c r="J12" s="12" t="str">
        <f t="shared" si="1"/>
        <v/>
      </c>
      <c r="K12" s="12" t="str">
        <f t="shared" si="2"/>
        <v/>
      </c>
      <c r="L12" s="13"/>
    </row>
    <row r="13" ht="12.0" customHeight="1">
      <c r="A13" s="13"/>
      <c r="B13" s="13"/>
      <c r="C13" s="13"/>
      <c r="D13" s="13"/>
      <c r="E13" s="13"/>
      <c r="F13" s="13"/>
      <c r="G13" s="13"/>
      <c r="H13" s="13"/>
      <c r="I13" s="13"/>
      <c r="J13" s="12" t="str">
        <f t="shared" si="1"/>
        <v/>
      </c>
      <c r="K13" s="12" t="str">
        <f t="shared" si="2"/>
        <v/>
      </c>
      <c r="L13" s="13"/>
    </row>
    <row r="14" ht="12.0" customHeight="1">
      <c r="A14" s="13"/>
      <c r="B14" s="13"/>
      <c r="C14" s="13"/>
      <c r="D14" s="13"/>
      <c r="E14" s="13"/>
      <c r="F14" s="13"/>
      <c r="G14" s="13"/>
      <c r="H14" s="13"/>
      <c r="I14" s="13"/>
      <c r="J14" s="12" t="str">
        <f t="shared" si="1"/>
        <v/>
      </c>
      <c r="K14" s="12" t="str">
        <f t="shared" si="2"/>
        <v/>
      </c>
      <c r="L14" s="13"/>
    </row>
    <row r="15" ht="12.0" customHeight="1">
      <c r="A15" s="13"/>
      <c r="B15" s="13"/>
      <c r="C15" s="13"/>
      <c r="D15" s="13"/>
      <c r="E15" s="13"/>
      <c r="F15" s="13"/>
      <c r="G15" s="13"/>
      <c r="H15" s="13"/>
      <c r="I15" s="13"/>
      <c r="J15" s="12" t="str">
        <f t="shared" si="1"/>
        <v/>
      </c>
      <c r="K15" s="12" t="str">
        <f t="shared" si="2"/>
        <v/>
      </c>
      <c r="L15" s="13"/>
    </row>
    <row r="16" ht="12.0" customHeight="1">
      <c r="A16" s="13"/>
      <c r="B16" s="13"/>
      <c r="C16" s="13"/>
      <c r="D16" s="13"/>
      <c r="E16" s="13"/>
      <c r="F16" s="13"/>
      <c r="G16" s="13"/>
      <c r="H16" s="13"/>
      <c r="I16" s="13"/>
      <c r="J16" s="12" t="str">
        <f t="shared" si="1"/>
        <v/>
      </c>
      <c r="K16" s="12" t="str">
        <f t="shared" si="2"/>
        <v/>
      </c>
      <c r="L16" s="13"/>
    </row>
    <row r="17" ht="12.0" customHeight="1">
      <c r="A17" s="13"/>
      <c r="B17" s="13"/>
      <c r="C17" s="13"/>
      <c r="D17" s="13"/>
      <c r="E17" s="13"/>
      <c r="F17" s="13"/>
      <c r="G17" s="13"/>
      <c r="H17" s="13"/>
      <c r="I17" s="13"/>
      <c r="J17" s="12" t="str">
        <f t="shared" si="1"/>
        <v/>
      </c>
      <c r="K17" s="12" t="str">
        <f t="shared" si="2"/>
        <v/>
      </c>
      <c r="L17" s="13"/>
    </row>
    <row r="18" ht="12.0" customHeight="1">
      <c r="A18" s="13"/>
      <c r="B18" s="13"/>
      <c r="C18" s="13"/>
      <c r="D18" s="13"/>
      <c r="E18" s="13"/>
      <c r="F18" s="13"/>
      <c r="G18" s="13"/>
      <c r="H18" s="13"/>
      <c r="I18" s="13"/>
      <c r="J18" s="12" t="str">
        <f t="shared" si="1"/>
        <v/>
      </c>
      <c r="K18" s="12" t="str">
        <f t="shared" si="2"/>
        <v/>
      </c>
      <c r="L18" s="13"/>
    </row>
    <row r="19" ht="12.0" customHeight="1">
      <c r="A19" s="13"/>
      <c r="B19" s="13"/>
      <c r="C19" s="13"/>
      <c r="D19" s="13"/>
      <c r="E19" s="13"/>
      <c r="F19" s="13"/>
      <c r="G19" s="13"/>
      <c r="H19" s="13"/>
      <c r="I19" s="13"/>
      <c r="J19" s="12" t="str">
        <f t="shared" si="1"/>
        <v/>
      </c>
      <c r="K19" s="12" t="str">
        <f t="shared" si="2"/>
        <v/>
      </c>
      <c r="L19" s="13"/>
    </row>
    <row r="20" ht="12.0" customHeight="1">
      <c r="A20" s="13"/>
      <c r="B20" s="13"/>
      <c r="C20" s="13"/>
      <c r="D20" s="13"/>
      <c r="E20" s="13"/>
      <c r="F20" s="13"/>
      <c r="G20" s="13"/>
      <c r="H20" s="13"/>
      <c r="I20" s="13"/>
      <c r="J20" s="12" t="str">
        <f t="shared" si="1"/>
        <v/>
      </c>
      <c r="K20" s="12" t="str">
        <f t="shared" si="2"/>
        <v/>
      </c>
      <c r="L20" s="13"/>
    </row>
    <row r="21" ht="12.0" customHeight="1">
      <c r="A21" s="13"/>
      <c r="B21" s="13"/>
      <c r="C21" s="13"/>
      <c r="D21" s="13"/>
      <c r="E21" s="13"/>
      <c r="F21" s="13"/>
      <c r="G21" s="13"/>
      <c r="H21" s="13"/>
      <c r="I21" s="13"/>
      <c r="J21" s="12" t="str">
        <f t="shared" si="1"/>
        <v/>
      </c>
      <c r="K21" s="12" t="str">
        <f t="shared" si="2"/>
        <v/>
      </c>
      <c r="L21" s="13"/>
    </row>
    <row r="22" ht="12.0" customHeight="1">
      <c r="A22" s="13"/>
      <c r="B22" s="13"/>
      <c r="C22" s="13"/>
      <c r="D22" s="13"/>
      <c r="E22" s="13"/>
      <c r="F22" s="13"/>
      <c r="G22" s="13"/>
      <c r="H22" s="13"/>
      <c r="I22" s="13"/>
      <c r="J22" s="12" t="str">
        <f t="shared" si="1"/>
        <v/>
      </c>
      <c r="K22" s="12" t="str">
        <f t="shared" si="2"/>
        <v/>
      </c>
      <c r="L22" s="13"/>
    </row>
    <row r="23" ht="12.0" customHeight="1">
      <c r="A23" s="13"/>
      <c r="B23" s="13"/>
      <c r="C23" s="13"/>
      <c r="D23" s="13"/>
      <c r="E23" s="13"/>
      <c r="F23" s="13"/>
      <c r="G23" s="13"/>
      <c r="H23" s="13"/>
      <c r="I23" s="13"/>
      <c r="J23" s="12" t="str">
        <f t="shared" si="1"/>
        <v/>
      </c>
      <c r="K23" s="12" t="str">
        <f t="shared" si="2"/>
        <v/>
      </c>
      <c r="L23" s="13"/>
    </row>
    <row r="24" ht="12.0" customHeight="1">
      <c r="A24" s="13"/>
      <c r="B24" s="13"/>
      <c r="C24" s="13"/>
      <c r="D24" s="13"/>
      <c r="E24" s="13"/>
      <c r="F24" s="13"/>
      <c r="G24" s="13"/>
      <c r="H24" s="13"/>
      <c r="I24" s="13"/>
      <c r="J24" s="12" t="str">
        <f t="shared" si="1"/>
        <v/>
      </c>
      <c r="K24" s="12" t="str">
        <f t="shared" si="2"/>
        <v/>
      </c>
      <c r="L24" s="13"/>
    </row>
    <row r="25" ht="12.0" customHeight="1">
      <c r="A25" s="13"/>
      <c r="B25" s="13"/>
      <c r="C25" s="13"/>
      <c r="D25" s="13"/>
      <c r="E25" s="13"/>
      <c r="F25" s="13"/>
      <c r="G25" s="13"/>
      <c r="H25" s="13"/>
      <c r="I25" s="13"/>
      <c r="J25" s="12" t="str">
        <f t="shared" si="1"/>
        <v/>
      </c>
      <c r="K25" s="12" t="str">
        <f t="shared" si="2"/>
        <v/>
      </c>
      <c r="L25" s="13"/>
    </row>
    <row r="26" ht="12.0" customHeight="1">
      <c r="A26" s="13"/>
      <c r="B26" s="13"/>
      <c r="C26" s="13"/>
      <c r="D26" s="13"/>
      <c r="E26" s="13"/>
      <c r="F26" s="13"/>
      <c r="G26" s="13"/>
      <c r="H26" s="13"/>
      <c r="I26" s="13"/>
      <c r="J26" s="12" t="str">
        <f t="shared" si="1"/>
        <v/>
      </c>
      <c r="K26" s="12" t="str">
        <f t="shared" si="2"/>
        <v/>
      </c>
      <c r="L26" s="13"/>
    </row>
    <row r="27" ht="12.0" customHeight="1">
      <c r="A27" s="13"/>
      <c r="B27" s="13"/>
      <c r="C27" s="13"/>
      <c r="D27" s="13"/>
      <c r="E27" s="13"/>
      <c r="F27" s="13"/>
      <c r="G27" s="13"/>
      <c r="H27" s="13"/>
      <c r="I27" s="13"/>
      <c r="J27" s="12" t="str">
        <f t="shared" si="1"/>
        <v/>
      </c>
      <c r="K27" s="12" t="str">
        <f t="shared" si="2"/>
        <v/>
      </c>
      <c r="L27" s="13"/>
    </row>
    <row r="28" ht="12.0" customHeight="1">
      <c r="A28" s="13"/>
      <c r="B28" s="13"/>
      <c r="C28" s="13"/>
      <c r="D28" s="13"/>
      <c r="E28" s="13"/>
      <c r="F28" s="13"/>
      <c r="G28" s="13"/>
      <c r="H28" s="13"/>
      <c r="I28" s="13"/>
      <c r="J28" s="12" t="str">
        <f t="shared" si="1"/>
        <v/>
      </c>
      <c r="K28" s="12" t="str">
        <f t="shared" si="2"/>
        <v/>
      </c>
      <c r="L28" s="13"/>
    </row>
    <row r="29" ht="12.0" customHeight="1">
      <c r="A29" s="13"/>
      <c r="B29" s="13"/>
      <c r="C29" s="13"/>
      <c r="D29" s="13"/>
      <c r="E29" s="13"/>
      <c r="F29" s="13"/>
      <c r="G29" s="13"/>
      <c r="H29" s="13"/>
      <c r="I29" s="13"/>
      <c r="J29" s="12" t="str">
        <f t="shared" si="1"/>
        <v/>
      </c>
      <c r="K29" s="12" t="str">
        <f t="shared" si="2"/>
        <v/>
      </c>
      <c r="L29" s="13"/>
    </row>
    <row r="30" ht="12.0" customHeight="1">
      <c r="A30" s="13"/>
      <c r="B30" s="13"/>
      <c r="C30" s="13"/>
      <c r="D30" s="13"/>
      <c r="E30" s="13"/>
      <c r="F30" s="13"/>
      <c r="G30" s="13"/>
      <c r="H30" s="13"/>
      <c r="I30" s="13"/>
      <c r="J30" s="12" t="str">
        <f t="shared" si="1"/>
        <v/>
      </c>
      <c r="K30" s="12" t="str">
        <f t="shared" si="2"/>
        <v/>
      </c>
      <c r="L30" s="13"/>
    </row>
    <row r="31" ht="12.0" customHeight="1">
      <c r="A31" s="13"/>
      <c r="B31" s="13"/>
      <c r="C31" s="13"/>
      <c r="D31" s="13"/>
      <c r="E31" s="13"/>
      <c r="F31" s="13"/>
      <c r="G31" s="13"/>
      <c r="H31" s="13"/>
      <c r="I31" s="13"/>
      <c r="J31" s="12" t="str">
        <f t="shared" si="1"/>
        <v/>
      </c>
      <c r="K31" s="12" t="str">
        <f t="shared" si="2"/>
        <v/>
      </c>
      <c r="L31" s="13"/>
    </row>
    <row r="32" ht="12.0" customHeight="1">
      <c r="A32" s="13"/>
      <c r="B32" s="13"/>
      <c r="C32" s="13"/>
      <c r="D32" s="13"/>
      <c r="E32" s="13"/>
      <c r="F32" s="13"/>
      <c r="G32" s="13"/>
      <c r="H32" s="13"/>
      <c r="I32" s="13"/>
      <c r="J32" s="12" t="str">
        <f t="shared" si="1"/>
        <v/>
      </c>
      <c r="K32" s="12" t="str">
        <f t="shared" si="2"/>
        <v/>
      </c>
      <c r="L32" s="13"/>
    </row>
    <row r="33" ht="12.0" customHeight="1">
      <c r="A33" s="13"/>
      <c r="B33" s="13"/>
      <c r="C33" s="13"/>
      <c r="D33" s="13"/>
      <c r="E33" s="13"/>
      <c r="F33" s="13"/>
      <c r="G33" s="13"/>
      <c r="H33" s="13"/>
      <c r="I33" s="13"/>
      <c r="J33" s="12" t="str">
        <f t="shared" si="1"/>
        <v/>
      </c>
      <c r="K33" s="12" t="str">
        <f t="shared" si="2"/>
        <v/>
      </c>
      <c r="L33" s="13"/>
    </row>
    <row r="34" ht="12.0" customHeight="1">
      <c r="A34" s="13"/>
      <c r="B34" s="13"/>
      <c r="C34" s="13"/>
      <c r="D34" s="13"/>
      <c r="E34" s="13"/>
      <c r="F34" s="13"/>
      <c r="G34" s="13"/>
      <c r="H34" s="13"/>
      <c r="I34" s="13"/>
      <c r="J34" s="12" t="str">
        <f t="shared" si="1"/>
        <v/>
      </c>
      <c r="K34" s="12" t="str">
        <f t="shared" si="2"/>
        <v/>
      </c>
      <c r="L34" s="13"/>
    </row>
    <row r="35" ht="12.0" customHeight="1">
      <c r="A35" s="13"/>
      <c r="B35" s="13"/>
      <c r="C35" s="13"/>
      <c r="D35" s="13"/>
      <c r="E35" s="13"/>
      <c r="F35" s="13"/>
      <c r="G35" s="13"/>
      <c r="H35" s="13"/>
      <c r="I35" s="13"/>
      <c r="J35" s="12" t="str">
        <f t="shared" si="1"/>
        <v/>
      </c>
      <c r="K35" s="12" t="str">
        <f t="shared" si="2"/>
        <v/>
      </c>
      <c r="L35" s="13"/>
    </row>
    <row r="36" ht="12.0" customHeight="1">
      <c r="A36" s="13"/>
      <c r="B36" s="13"/>
      <c r="C36" s="13"/>
      <c r="D36" s="13"/>
      <c r="E36" s="13"/>
      <c r="F36" s="13"/>
      <c r="G36" s="13"/>
      <c r="H36" s="13"/>
      <c r="I36" s="13"/>
      <c r="J36" s="12" t="str">
        <f t="shared" si="1"/>
        <v/>
      </c>
      <c r="K36" s="12" t="str">
        <f t="shared" si="2"/>
        <v/>
      </c>
      <c r="L36" s="13"/>
    </row>
    <row r="37" ht="12.0" customHeight="1">
      <c r="A37" s="13"/>
      <c r="B37" s="13"/>
      <c r="C37" s="13"/>
      <c r="D37" s="13"/>
      <c r="E37" s="13"/>
      <c r="F37" s="13"/>
      <c r="G37" s="13"/>
      <c r="H37" s="13"/>
      <c r="I37" s="13"/>
      <c r="J37" s="12" t="str">
        <f t="shared" si="1"/>
        <v/>
      </c>
      <c r="K37" s="12" t="str">
        <f t="shared" si="2"/>
        <v/>
      </c>
      <c r="L37" s="13"/>
    </row>
    <row r="38" ht="12.0" customHeight="1">
      <c r="A38" s="13"/>
      <c r="B38" s="13"/>
      <c r="C38" s="13"/>
      <c r="D38" s="13"/>
      <c r="E38" s="13"/>
      <c r="F38" s="13"/>
      <c r="G38" s="13"/>
      <c r="H38" s="13"/>
      <c r="I38" s="13"/>
      <c r="J38" s="12" t="str">
        <f t="shared" si="1"/>
        <v/>
      </c>
      <c r="K38" s="12" t="str">
        <f t="shared" si="2"/>
        <v/>
      </c>
      <c r="L38" s="13"/>
    </row>
    <row r="39" ht="12.0" customHeight="1">
      <c r="A39" s="13"/>
      <c r="B39" s="13"/>
      <c r="C39" s="13"/>
      <c r="D39" s="13"/>
      <c r="E39" s="13"/>
      <c r="F39" s="13"/>
      <c r="G39" s="13"/>
      <c r="H39" s="13"/>
      <c r="I39" s="13"/>
      <c r="J39" s="12" t="str">
        <f t="shared" si="1"/>
        <v/>
      </c>
      <c r="K39" s="12" t="str">
        <f t="shared" si="2"/>
        <v/>
      </c>
      <c r="L39" s="13"/>
    </row>
    <row r="40" ht="12.0" customHeight="1">
      <c r="A40" s="13"/>
      <c r="B40" s="13"/>
      <c r="C40" s="13"/>
      <c r="D40" s="13"/>
      <c r="E40" s="13"/>
      <c r="F40" s="13"/>
      <c r="G40" s="13"/>
      <c r="H40" s="13"/>
      <c r="I40" s="13"/>
      <c r="J40" s="12" t="str">
        <f t="shared" si="1"/>
        <v/>
      </c>
      <c r="K40" s="12" t="str">
        <f t="shared" si="2"/>
        <v/>
      </c>
      <c r="L40" s="13"/>
    </row>
    <row r="41" ht="12.0" customHeight="1">
      <c r="A41" s="13"/>
      <c r="B41" s="13"/>
      <c r="C41" s="13"/>
      <c r="D41" s="13"/>
      <c r="E41" s="13"/>
      <c r="F41" s="13"/>
      <c r="G41" s="13"/>
      <c r="H41" s="13"/>
      <c r="I41" s="13"/>
      <c r="J41" s="12" t="str">
        <f t="shared" si="1"/>
        <v/>
      </c>
      <c r="K41" s="12" t="str">
        <f t="shared" si="2"/>
        <v/>
      </c>
      <c r="L41" s="13"/>
    </row>
    <row r="42" ht="12.0" customHeight="1">
      <c r="A42" s="13"/>
      <c r="B42" s="13"/>
      <c r="C42" s="13"/>
      <c r="D42" s="13"/>
      <c r="E42" s="13"/>
      <c r="F42" s="13"/>
      <c r="G42" s="13"/>
      <c r="H42" s="13"/>
      <c r="I42" s="13"/>
      <c r="J42" s="12" t="str">
        <f t="shared" si="1"/>
        <v/>
      </c>
      <c r="K42" s="12" t="str">
        <f t="shared" si="2"/>
        <v/>
      </c>
      <c r="L42" s="13"/>
    </row>
    <row r="43" ht="12.0" customHeight="1">
      <c r="A43" s="13"/>
      <c r="B43" s="13"/>
      <c r="C43" s="13"/>
      <c r="D43" s="13"/>
      <c r="E43" s="13"/>
      <c r="F43" s="13"/>
      <c r="G43" s="13"/>
      <c r="H43" s="13"/>
      <c r="I43" s="13"/>
      <c r="J43" s="12" t="str">
        <f t="shared" si="1"/>
        <v/>
      </c>
      <c r="K43" s="12" t="str">
        <f t="shared" si="2"/>
        <v/>
      </c>
      <c r="L43" s="13"/>
    </row>
    <row r="44" ht="12.0" customHeight="1">
      <c r="A44" s="13"/>
      <c r="B44" s="13"/>
      <c r="C44" s="13"/>
      <c r="D44" s="13"/>
      <c r="E44" s="13"/>
      <c r="F44" s="13"/>
      <c r="G44" s="13"/>
      <c r="H44" s="13"/>
      <c r="I44" s="13"/>
      <c r="J44" s="12" t="str">
        <f t="shared" si="1"/>
        <v/>
      </c>
      <c r="K44" s="12" t="str">
        <f t="shared" si="2"/>
        <v/>
      </c>
      <c r="L44" s="13"/>
    </row>
    <row r="45" ht="12.0" customHeight="1">
      <c r="A45" s="13"/>
      <c r="B45" s="13"/>
      <c r="C45" s="13"/>
      <c r="D45" s="13"/>
      <c r="E45" s="13"/>
      <c r="F45" s="13"/>
      <c r="G45" s="13"/>
      <c r="H45" s="13"/>
      <c r="I45" s="13"/>
      <c r="J45" s="12" t="str">
        <f t="shared" si="1"/>
        <v/>
      </c>
      <c r="K45" s="12" t="str">
        <f t="shared" si="2"/>
        <v/>
      </c>
      <c r="L45" s="13"/>
    </row>
    <row r="46" ht="12.0" customHeight="1">
      <c r="A46" s="13"/>
      <c r="B46" s="13"/>
      <c r="C46" s="13"/>
      <c r="D46" s="13"/>
      <c r="E46" s="13"/>
      <c r="F46" s="13"/>
      <c r="G46" s="13"/>
      <c r="H46" s="13"/>
      <c r="I46" s="13"/>
      <c r="J46" s="12" t="str">
        <f t="shared" si="1"/>
        <v/>
      </c>
      <c r="K46" s="12" t="str">
        <f t="shared" si="2"/>
        <v/>
      </c>
      <c r="L46" s="13"/>
    </row>
    <row r="47" ht="12.0" customHeight="1">
      <c r="A47" s="13"/>
      <c r="B47" s="13"/>
      <c r="C47" s="13"/>
      <c r="D47" s="13"/>
      <c r="E47" s="13"/>
      <c r="F47" s="13"/>
      <c r="G47" s="13"/>
      <c r="H47" s="13"/>
      <c r="I47" s="13"/>
      <c r="J47" s="12" t="str">
        <f t="shared" si="1"/>
        <v/>
      </c>
      <c r="K47" s="12" t="str">
        <f t="shared" si="2"/>
        <v/>
      </c>
      <c r="L47" s="13"/>
    </row>
    <row r="48" ht="12.0" customHeight="1">
      <c r="A48" s="13"/>
      <c r="B48" s="13"/>
      <c r="C48" s="13"/>
      <c r="D48" s="13"/>
      <c r="E48" s="13"/>
      <c r="F48" s="13"/>
      <c r="G48" s="13"/>
      <c r="H48" s="13"/>
      <c r="I48" s="13"/>
      <c r="J48" s="12" t="str">
        <f t="shared" si="1"/>
        <v/>
      </c>
      <c r="K48" s="12" t="str">
        <f t="shared" si="2"/>
        <v/>
      </c>
      <c r="L48" s="13"/>
    </row>
    <row r="49" ht="12.0" customHeight="1">
      <c r="A49" s="13"/>
      <c r="B49" s="13"/>
      <c r="C49" s="13"/>
      <c r="D49" s="13"/>
      <c r="E49" s="13"/>
      <c r="F49" s="13"/>
      <c r="G49" s="13"/>
      <c r="H49" s="13"/>
      <c r="I49" s="13"/>
      <c r="J49" s="12" t="str">
        <f t="shared" si="1"/>
        <v/>
      </c>
      <c r="K49" s="12" t="str">
        <f t="shared" si="2"/>
        <v/>
      </c>
      <c r="L49" s="13"/>
    </row>
    <row r="50" ht="12.0" customHeight="1">
      <c r="A50" s="13"/>
      <c r="B50" s="13"/>
      <c r="C50" s="13"/>
      <c r="D50" s="13"/>
      <c r="E50" s="13"/>
      <c r="F50" s="13"/>
      <c r="G50" s="13"/>
      <c r="H50" s="13"/>
      <c r="I50" s="13"/>
      <c r="J50" s="12" t="str">
        <f t="shared" si="1"/>
        <v/>
      </c>
      <c r="K50" s="12" t="str">
        <f t="shared" si="2"/>
        <v/>
      </c>
      <c r="L50" s="13"/>
    </row>
    <row r="51" ht="12.0" customHeight="1">
      <c r="A51" s="13"/>
      <c r="B51" s="13"/>
      <c r="C51" s="13"/>
      <c r="D51" s="13"/>
      <c r="E51" s="13"/>
      <c r="F51" s="13"/>
      <c r="G51" s="13"/>
      <c r="H51" s="13"/>
      <c r="I51" s="13"/>
      <c r="J51" s="12" t="str">
        <f t="shared" si="1"/>
        <v/>
      </c>
      <c r="K51" s="12" t="str">
        <f t="shared" si="2"/>
        <v/>
      </c>
      <c r="L51" s="13"/>
    </row>
    <row r="52" ht="12.0" customHeight="1">
      <c r="A52" s="13"/>
      <c r="B52" s="13"/>
      <c r="C52" s="13"/>
      <c r="D52" s="13"/>
      <c r="E52" s="13"/>
      <c r="F52" s="13"/>
      <c r="G52" s="13"/>
      <c r="H52" s="13"/>
      <c r="I52" s="13"/>
      <c r="J52" s="12" t="str">
        <f t="shared" si="1"/>
        <v/>
      </c>
      <c r="K52" s="12" t="str">
        <f t="shared" si="2"/>
        <v/>
      </c>
      <c r="L52" s="13"/>
    </row>
    <row r="53" ht="12.0" customHeight="1">
      <c r="A53" s="13"/>
      <c r="B53" s="13"/>
      <c r="C53" s="13"/>
      <c r="D53" s="13"/>
      <c r="E53" s="13"/>
      <c r="F53" s="13"/>
      <c r="G53" s="13"/>
      <c r="H53" s="13"/>
      <c r="I53" s="13"/>
      <c r="J53" s="12" t="str">
        <f t="shared" si="1"/>
        <v/>
      </c>
      <c r="K53" s="12" t="str">
        <f t="shared" si="2"/>
        <v/>
      </c>
      <c r="L53" s="13"/>
    </row>
    <row r="54" ht="12.0" customHeight="1">
      <c r="A54" s="13"/>
      <c r="B54" s="13"/>
      <c r="C54" s="13"/>
      <c r="D54" s="13"/>
      <c r="E54" s="13"/>
      <c r="F54" s="13"/>
      <c r="G54" s="13"/>
      <c r="H54" s="13"/>
      <c r="I54" s="13"/>
      <c r="J54" s="12" t="str">
        <f t="shared" si="1"/>
        <v/>
      </c>
      <c r="K54" s="12" t="str">
        <f t="shared" si="2"/>
        <v/>
      </c>
      <c r="L54" s="13"/>
    </row>
    <row r="55" ht="12.0" customHeight="1">
      <c r="A55" s="13"/>
      <c r="B55" s="13"/>
      <c r="C55" s="13"/>
      <c r="D55" s="13"/>
      <c r="E55" s="13"/>
      <c r="F55" s="13"/>
      <c r="G55" s="13"/>
      <c r="H55" s="13"/>
      <c r="I55" s="13"/>
      <c r="J55" s="12" t="str">
        <f t="shared" si="1"/>
        <v/>
      </c>
      <c r="K55" s="12" t="str">
        <f t="shared" si="2"/>
        <v/>
      </c>
      <c r="L55" s="13"/>
    </row>
    <row r="56" ht="12.0" customHeight="1">
      <c r="A56" s="13"/>
      <c r="B56" s="13"/>
      <c r="C56" s="13"/>
      <c r="D56" s="13"/>
      <c r="E56" s="13"/>
      <c r="F56" s="13"/>
      <c r="G56" s="13"/>
      <c r="H56" s="13"/>
      <c r="I56" s="13"/>
      <c r="J56" s="12" t="str">
        <f t="shared" si="1"/>
        <v/>
      </c>
      <c r="K56" s="12" t="str">
        <f t="shared" si="2"/>
        <v/>
      </c>
      <c r="L56" s="13"/>
    </row>
    <row r="57" ht="12.0" customHeight="1">
      <c r="A57" s="13"/>
      <c r="B57" s="13"/>
      <c r="C57" s="13"/>
      <c r="D57" s="13"/>
      <c r="E57" s="13"/>
      <c r="F57" s="13"/>
      <c r="G57" s="13"/>
      <c r="H57" s="13"/>
      <c r="I57" s="13"/>
      <c r="J57" s="12" t="str">
        <f t="shared" si="1"/>
        <v/>
      </c>
      <c r="K57" s="12" t="str">
        <f t="shared" si="2"/>
        <v/>
      </c>
      <c r="L57" s="13"/>
    </row>
    <row r="58" ht="12.0" customHeight="1">
      <c r="A58" s="13"/>
      <c r="B58" s="13"/>
      <c r="C58" s="13"/>
      <c r="D58" s="13"/>
      <c r="E58" s="13"/>
      <c r="F58" s="13"/>
      <c r="G58" s="13"/>
      <c r="H58" s="13"/>
      <c r="I58" s="13"/>
      <c r="J58" s="12" t="str">
        <f t="shared" si="1"/>
        <v/>
      </c>
      <c r="K58" s="12" t="str">
        <f t="shared" si="2"/>
        <v/>
      </c>
      <c r="L58" s="13"/>
    </row>
    <row r="59" ht="12.0" customHeight="1">
      <c r="A59" s="13"/>
      <c r="B59" s="13"/>
      <c r="C59" s="13"/>
      <c r="D59" s="13"/>
      <c r="E59" s="13"/>
      <c r="F59" s="13"/>
      <c r="G59" s="13"/>
      <c r="H59" s="13"/>
      <c r="I59" s="13"/>
      <c r="J59" s="12" t="str">
        <f t="shared" si="1"/>
        <v/>
      </c>
      <c r="K59" s="12" t="str">
        <f t="shared" si="2"/>
        <v/>
      </c>
      <c r="L59" s="13"/>
    </row>
    <row r="60" ht="12.0" customHeight="1">
      <c r="A60" s="13"/>
      <c r="B60" s="13"/>
      <c r="C60" s="13"/>
      <c r="D60" s="13"/>
      <c r="E60" s="13"/>
      <c r="F60" s="13"/>
      <c r="G60" s="13"/>
      <c r="H60" s="13"/>
      <c r="I60" s="13"/>
      <c r="J60" s="12" t="str">
        <f t="shared" si="1"/>
        <v/>
      </c>
      <c r="K60" s="12" t="str">
        <f t="shared" si="2"/>
        <v/>
      </c>
      <c r="L60" s="13"/>
    </row>
    <row r="61" ht="12.0" customHeight="1">
      <c r="A61" s="13"/>
      <c r="B61" s="13"/>
      <c r="C61" s="13"/>
      <c r="D61" s="13"/>
      <c r="E61" s="13"/>
      <c r="F61" s="13"/>
      <c r="G61" s="13"/>
      <c r="H61" s="13"/>
      <c r="I61" s="13"/>
      <c r="J61" s="12" t="str">
        <f t="shared" si="1"/>
        <v/>
      </c>
      <c r="K61" s="12" t="str">
        <f t="shared" si="2"/>
        <v/>
      </c>
      <c r="L61" s="13"/>
    </row>
    <row r="62" ht="12.0" customHeight="1">
      <c r="A62" s="13"/>
      <c r="B62" s="13"/>
      <c r="C62" s="13"/>
      <c r="D62" s="13"/>
      <c r="E62" s="13"/>
      <c r="F62" s="13"/>
      <c r="G62" s="13"/>
      <c r="H62" s="13"/>
      <c r="I62" s="13"/>
      <c r="J62" s="12" t="str">
        <f t="shared" si="1"/>
        <v/>
      </c>
      <c r="K62" s="12" t="str">
        <f t="shared" si="2"/>
        <v/>
      </c>
      <c r="L62" s="13"/>
    </row>
    <row r="63" ht="12.0" customHeight="1">
      <c r="A63" s="13"/>
      <c r="B63" s="13"/>
      <c r="C63" s="13"/>
      <c r="D63" s="13"/>
      <c r="E63" s="13"/>
      <c r="F63" s="13"/>
      <c r="G63" s="13"/>
      <c r="H63" s="13"/>
      <c r="I63" s="13"/>
      <c r="J63" s="12" t="str">
        <f t="shared" si="1"/>
        <v/>
      </c>
      <c r="K63" s="12" t="str">
        <f t="shared" si="2"/>
        <v/>
      </c>
      <c r="L63" s="13"/>
    </row>
    <row r="64" ht="12.0" customHeight="1">
      <c r="A64" s="13"/>
      <c r="B64" s="13"/>
      <c r="C64" s="13"/>
      <c r="D64" s="13"/>
      <c r="E64" s="13"/>
      <c r="F64" s="13"/>
      <c r="G64" s="13"/>
      <c r="H64" s="13"/>
      <c r="I64" s="13"/>
      <c r="J64" s="12" t="str">
        <f t="shared" si="1"/>
        <v/>
      </c>
      <c r="K64" s="12" t="str">
        <f t="shared" si="2"/>
        <v/>
      </c>
      <c r="L64" s="13"/>
    </row>
    <row r="65" ht="12.0" customHeight="1">
      <c r="A65" s="13"/>
      <c r="B65" s="13"/>
      <c r="C65" s="13"/>
      <c r="D65" s="13"/>
      <c r="E65" s="13"/>
      <c r="F65" s="13"/>
      <c r="G65" s="13"/>
      <c r="H65" s="13"/>
      <c r="I65" s="13"/>
      <c r="J65" s="12" t="str">
        <f t="shared" si="1"/>
        <v/>
      </c>
      <c r="K65" s="12" t="str">
        <f t="shared" si="2"/>
        <v/>
      </c>
      <c r="L65" s="13"/>
    </row>
    <row r="66" ht="12.0" customHeight="1">
      <c r="A66" s="13"/>
      <c r="B66" s="13"/>
      <c r="C66" s="13"/>
      <c r="D66" s="13"/>
      <c r="E66" s="13"/>
      <c r="F66" s="13"/>
      <c r="G66" s="13"/>
      <c r="H66" s="13"/>
      <c r="I66" s="13"/>
      <c r="J66" s="12" t="str">
        <f t="shared" si="1"/>
        <v/>
      </c>
      <c r="K66" s="12" t="str">
        <f t="shared" si="2"/>
        <v/>
      </c>
      <c r="L66" s="13"/>
    </row>
    <row r="67" ht="12.0" customHeight="1">
      <c r="A67" s="13"/>
      <c r="B67" s="13"/>
      <c r="C67" s="13"/>
      <c r="D67" s="13"/>
      <c r="E67" s="13"/>
      <c r="F67" s="13"/>
      <c r="G67" s="13"/>
      <c r="H67" s="13"/>
      <c r="I67" s="13"/>
      <c r="J67" s="12" t="str">
        <f t="shared" si="1"/>
        <v/>
      </c>
      <c r="K67" s="12" t="str">
        <f t="shared" si="2"/>
        <v/>
      </c>
      <c r="L67" s="13"/>
    </row>
    <row r="68" ht="12.0" customHeight="1">
      <c r="A68" s="13"/>
      <c r="B68" s="13"/>
      <c r="C68" s="13"/>
      <c r="D68" s="13"/>
      <c r="E68" s="13"/>
      <c r="F68" s="13"/>
      <c r="G68" s="13"/>
      <c r="H68" s="13"/>
      <c r="I68" s="13"/>
      <c r="J68" s="12" t="str">
        <f t="shared" si="1"/>
        <v/>
      </c>
      <c r="K68" s="12" t="str">
        <f t="shared" si="2"/>
        <v/>
      </c>
      <c r="L68" s="13"/>
    </row>
    <row r="69" ht="12.0" customHeight="1">
      <c r="A69" s="13"/>
      <c r="B69" s="13"/>
      <c r="C69" s="13"/>
      <c r="D69" s="13"/>
      <c r="E69" s="13"/>
      <c r="F69" s="13"/>
      <c r="G69" s="13"/>
      <c r="H69" s="13"/>
      <c r="I69" s="13"/>
      <c r="J69" s="12" t="str">
        <f t="shared" si="1"/>
        <v/>
      </c>
      <c r="K69" s="12" t="str">
        <f t="shared" si="2"/>
        <v/>
      </c>
      <c r="L69" s="13"/>
    </row>
    <row r="70" ht="12.0" customHeight="1">
      <c r="A70" s="13"/>
      <c r="B70" s="13"/>
      <c r="C70" s="13"/>
      <c r="D70" s="13"/>
      <c r="E70" s="13"/>
      <c r="F70" s="13"/>
      <c r="G70" s="13"/>
      <c r="H70" s="13"/>
      <c r="I70" s="13"/>
      <c r="J70" s="12" t="str">
        <f t="shared" si="1"/>
        <v/>
      </c>
      <c r="K70" s="12" t="str">
        <f t="shared" si="2"/>
        <v/>
      </c>
      <c r="L70" s="13"/>
    </row>
    <row r="71" ht="12.0" customHeight="1">
      <c r="A71" s="13"/>
      <c r="B71" s="13"/>
      <c r="C71" s="13"/>
      <c r="D71" s="13"/>
      <c r="E71" s="13"/>
      <c r="F71" s="13"/>
      <c r="G71" s="13"/>
      <c r="H71" s="13"/>
      <c r="I71" s="13"/>
      <c r="J71" s="12" t="str">
        <f t="shared" si="1"/>
        <v/>
      </c>
      <c r="K71" s="12" t="str">
        <f t="shared" si="2"/>
        <v/>
      </c>
      <c r="L71" s="13"/>
    </row>
    <row r="72" ht="12.0" customHeight="1">
      <c r="A72" s="13"/>
      <c r="B72" s="13"/>
      <c r="C72" s="13"/>
      <c r="D72" s="13"/>
      <c r="E72" s="13"/>
      <c r="F72" s="13"/>
      <c r="G72" s="13"/>
      <c r="H72" s="13"/>
      <c r="I72" s="13"/>
      <c r="J72" s="12" t="str">
        <f t="shared" si="1"/>
        <v/>
      </c>
      <c r="K72" s="12" t="str">
        <f t="shared" si="2"/>
        <v/>
      </c>
      <c r="L72" s="13"/>
    </row>
    <row r="73" ht="12.0" customHeight="1">
      <c r="A73" s="13"/>
      <c r="B73" s="13"/>
      <c r="C73" s="13"/>
      <c r="D73" s="13"/>
      <c r="E73" s="13"/>
      <c r="F73" s="13"/>
      <c r="G73" s="13"/>
      <c r="H73" s="13"/>
      <c r="I73" s="13"/>
      <c r="J73" s="12" t="str">
        <f t="shared" si="1"/>
        <v/>
      </c>
      <c r="K73" s="12" t="str">
        <f t="shared" si="2"/>
        <v/>
      </c>
      <c r="L73" s="13"/>
    </row>
    <row r="74" ht="12.0" customHeight="1">
      <c r="A74" s="13"/>
      <c r="B74" s="13"/>
      <c r="C74" s="13"/>
      <c r="D74" s="13"/>
      <c r="E74" s="13"/>
      <c r="F74" s="13"/>
      <c r="G74" s="13"/>
      <c r="H74" s="13"/>
      <c r="I74" s="13"/>
      <c r="J74" s="12" t="str">
        <f t="shared" si="1"/>
        <v/>
      </c>
      <c r="K74" s="12" t="str">
        <f t="shared" si="2"/>
        <v/>
      </c>
      <c r="L74" s="13"/>
    </row>
    <row r="75" ht="12.0" customHeight="1">
      <c r="A75" s="13"/>
      <c r="B75" s="13"/>
      <c r="C75" s="13"/>
      <c r="D75" s="13"/>
      <c r="E75" s="13"/>
      <c r="F75" s="13"/>
      <c r="G75" s="13"/>
      <c r="H75" s="13"/>
      <c r="I75" s="13"/>
      <c r="J75" s="12" t="str">
        <f t="shared" si="1"/>
        <v/>
      </c>
      <c r="K75" s="12" t="str">
        <f t="shared" si="2"/>
        <v/>
      </c>
      <c r="L75" s="13"/>
    </row>
    <row r="76" ht="12.0" customHeight="1">
      <c r="A76" s="13"/>
      <c r="B76" s="13"/>
      <c r="C76" s="13"/>
      <c r="D76" s="13"/>
      <c r="E76" s="13"/>
      <c r="F76" s="13"/>
      <c r="G76" s="13"/>
      <c r="H76" s="13"/>
      <c r="I76" s="13"/>
      <c r="J76" s="12" t="str">
        <f t="shared" si="1"/>
        <v/>
      </c>
      <c r="K76" s="12" t="str">
        <f t="shared" si="2"/>
        <v/>
      </c>
      <c r="L76" s="13"/>
    </row>
    <row r="77" ht="12.0" customHeight="1">
      <c r="A77" s="13"/>
      <c r="B77" s="13"/>
      <c r="C77" s="13"/>
      <c r="D77" s="13"/>
      <c r="E77" s="13"/>
      <c r="F77" s="13"/>
      <c r="G77" s="13"/>
      <c r="H77" s="13"/>
      <c r="I77" s="13"/>
      <c r="J77" s="12" t="str">
        <f t="shared" si="1"/>
        <v/>
      </c>
      <c r="K77" s="12" t="str">
        <f t="shared" si="2"/>
        <v/>
      </c>
      <c r="L77" s="13"/>
    </row>
    <row r="78" ht="12.0" customHeight="1">
      <c r="A78" s="13"/>
      <c r="B78" s="13"/>
      <c r="C78" s="13"/>
      <c r="D78" s="13"/>
      <c r="E78" s="13"/>
      <c r="F78" s="13"/>
      <c r="G78" s="13"/>
      <c r="H78" s="13"/>
      <c r="I78" s="13"/>
      <c r="J78" s="12" t="str">
        <f t="shared" si="1"/>
        <v/>
      </c>
      <c r="K78" s="12" t="str">
        <f t="shared" si="2"/>
        <v/>
      </c>
      <c r="L78" s="13"/>
    </row>
    <row r="79" ht="12.0" customHeight="1">
      <c r="A79" s="13"/>
      <c r="B79" s="13"/>
      <c r="C79" s="13"/>
      <c r="D79" s="13"/>
      <c r="E79" s="13"/>
      <c r="F79" s="13"/>
      <c r="G79" s="13"/>
      <c r="H79" s="13"/>
      <c r="I79" s="13"/>
      <c r="J79" s="12" t="str">
        <f t="shared" si="1"/>
        <v/>
      </c>
      <c r="K79" s="12" t="str">
        <f t="shared" si="2"/>
        <v/>
      </c>
      <c r="L79" s="13"/>
    </row>
    <row r="80" ht="12.0" customHeight="1">
      <c r="A80" s="13"/>
      <c r="B80" s="13"/>
      <c r="C80" s="13"/>
      <c r="D80" s="13"/>
      <c r="E80" s="13"/>
      <c r="F80" s="13"/>
      <c r="G80" s="13"/>
      <c r="H80" s="13"/>
      <c r="I80" s="13"/>
      <c r="J80" s="12" t="str">
        <f t="shared" si="1"/>
        <v/>
      </c>
      <c r="K80" s="12" t="str">
        <f t="shared" si="2"/>
        <v/>
      </c>
      <c r="L80" s="13"/>
    </row>
    <row r="81" ht="12.0" customHeight="1">
      <c r="A81" s="13"/>
      <c r="B81" s="13"/>
      <c r="C81" s="13"/>
      <c r="D81" s="13"/>
      <c r="E81" s="13"/>
      <c r="F81" s="13"/>
      <c r="G81" s="13"/>
      <c r="H81" s="13"/>
      <c r="I81" s="13"/>
      <c r="J81" s="12" t="str">
        <f t="shared" si="1"/>
        <v/>
      </c>
      <c r="K81" s="12" t="str">
        <f t="shared" si="2"/>
        <v/>
      </c>
      <c r="L81" s="13"/>
    </row>
    <row r="82" ht="12.0" customHeight="1">
      <c r="A82" s="13"/>
      <c r="B82" s="13"/>
      <c r="C82" s="13"/>
      <c r="D82" s="13"/>
      <c r="E82" s="13"/>
      <c r="F82" s="13"/>
      <c r="G82" s="13"/>
      <c r="H82" s="13"/>
      <c r="I82" s="13"/>
      <c r="J82" s="12" t="str">
        <f t="shared" si="1"/>
        <v/>
      </c>
      <c r="K82" s="12" t="str">
        <f t="shared" si="2"/>
        <v/>
      </c>
      <c r="L82" s="13"/>
    </row>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dataValidations>
    <dataValidation type="decimal" allowBlank="1" showInputMessage="1" showErrorMessage="1" prompt="Enter a whole number from 0 to 4" sqref="H3:H82">
      <formula1>0.0</formula1>
      <formula2>4.0</formula2>
    </dataValidation>
    <dataValidation type="decimal" allowBlank="1" showInputMessage="1" showErrorMessage="1" prompt="Enter a whole number from 0 to 8" sqref="D3:D82">
      <formula1>0.0</formula1>
      <formula2>8.0</formula2>
    </dataValidation>
    <dataValidation type="decimal" allowBlank="1" showInputMessage="1" showErrorMessage="1" prompt="Enter a whole number from 0 to 5" sqref="F3:F82">
      <formula1>0.0</formula1>
      <formula2>5.0</formula2>
    </dataValidation>
    <dataValidation type="decimal" allowBlank="1" showInputMessage="1" showErrorMessage="1" prompt="Enter a whole number from 0 to 7" sqref="E3:E82">
      <formula1>0.0</formula1>
      <formula2>7.0</formula2>
    </dataValidation>
    <dataValidation type="decimal" allowBlank="1" showInputMessage="1" showErrorMessage="1" prompt="Enter a whole number from 0 to 6" sqref="G3:G82">
      <formula1>0.0</formula1>
      <formula2>6.0</formula2>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2026-09-25T16:15:39Z</dcterms:created>
  <dc:creator>openpyxl</dc:creator>
</cp:coreProperties>
</file>